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ZO" sheetId="1" r:id="rId5"/>
    <sheet state="visible" name="ABRIL" sheetId="2" r:id="rId6"/>
    <sheet state="visible" name="MAYO" sheetId="3" r:id="rId7"/>
    <sheet state="visible" name="JUNIO" sheetId="4" r:id="rId8"/>
    <sheet state="visible" name="JULIO" sheetId="5" r:id="rId9"/>
    <sheet state="visible" name="AGOSTO" sheetId="6" r:id="rId10"/>
    <sheet state="visible" name="SEPTIEMBRE" sheetId="7" r:id="rId11"/>
    <sheet state="visible" name="OCTUBRE" sheetId="8" r:id="rId12"/>
    <sheet state="visible" name="NOVIEMBRE" sheetId="9" r:id="rId13"/>
    <sheet state="visible" name="DICIEMBRE" sheetId="10" r:id="rId14"/>
    <sheet state="visible" name="ENERO 2026" sheetId="11" r:id="rId15"/>
    <sheet state="visible" name="FEBRERO 2026" sheetId="12" r:id="rId16"/>
  </sheets>
  <definedNames/>
  <calcPr/>
</workbook>
</file>

<file path=xl/sharedStrings.xml><?xml version="1.0" encoding="utf-8"?>
<sst xmlns="http://schemas.openxmlformats.org/spreadsheetml/2006/main" count="1580" uniqueCount="654">
  <si>
    <t>PESOS</t>
  </si>
  <si>
    <t>DOLARES</t>
  </si>
  <si>
    <t>FECHA</t>
  </si>
  <si>
    <t>CONCEPTO</t>
  </si>
  <si>
    <t xml:space="preserve">DETALLE MOVIMIENTO </t>
  </si>
  <si>
    <t>ENTRADAS</t>
  </si>
  <si>
    <t>SALIDAS</t>
  </si>
  <si>
    <t>SALDO</t>
  </si>
  <si>
    <t xml:space="preserve">  COMISIONES PROPSI</t>
  </si>
  <si>
    <t>SALDO INICIAL</t>
  </si>
  <si>
    <t>PAGADO</t>
  </si>
  <si>
    <t xml:space="preserve">LOTE </t>
  </si>
  <si>
    <t>GABRIEL BAL ADELANTO</t>
  </si>
  <si>
    <t>RESTA PAGAR</t>
  </si>
  <si>
    <t>PAGADO 2400 27/03</t>
  </si>
  <si>
    <t>COMISIONES</t>
  </si>
  <si>
    <t>PAGO PARCIAL COMISIONES PROPSI</t>
  </si>
  <si>
    <t>TOTAL</t>
  </si>
  <si>
    <t>ENTREGA PRONZATO LOTE 191 Y 192</t>
  </si>
  <si>
    <t>ENTREGA URREA/SUMMER LOTE 172</t>
  </si>
  <si>
    <t>ENTREAGA URIEL SANCHEZ LOTE 167</t>
  </si>
  <si>
    <t>RETIRO</t>
  </si>
  <si>
    <t>RETIRO 200 CENA JONY MARC Y BRIAN</t>
  </si>
  <si>
    <t xml:space="preserve"> COMISIONES</t>
  </si>
  <si>
    <t>FIDEICOMISO</t>
  </si>
  <si>
    <t xml:space="preserve">PAGO FIDEICOMISO </t>
  </si>
  <si>
    <t>ENTREGA SANCHEZ FALTANTE</t>
  </si>
  <si>
    <t xml:space="preserve">PAGO CONTADO LOTE 153 JOSE SIERRA </t>
  </si>
  <si>
    <t>LIQUIDACION PARCIAL FIDUCIARIA</t>
  </si>
  <si>
    <t>ENTREGA YANQUIRIMACHI LOTE 153</t>
  </si>
  <si>
    <t xml:space="preserve">CAMBIO </t>
  </si>
  <si>
    <t>CAMBIO USD POR $ CROATA</t>
  </si>
  <si>
    <t>GASTOS PROYECTO</t>
  </si>
  <si>
    <t>RENDERS</t>
  </si>
  <si>
    <t>50% HONORARIOS CONTADOR FIDEICOMISO</t>
  </si>
  <si>
    <t>SELLADO API INSCRIP. FIDEICOMISO</t>
  </si>
  <si>
    <t>GASTOS OFICINA</t>
  </si>
  <si>
    <t xml:space="preserve">ESCRITORIOS </t>
  </si>
  <si>
    <t xml:space="preserve">APLIQUES </t>
  </si>
  <si>
    <t xml:space="preserve">RETIRO MARCOS </t>
  </si>
  <si>
    <t>CAMBIO USD POR $ CROATA CORTA PASTO</t>
  </si>
  <si>
    <t xml:space="preserve">CORTE DE PASTO AL CAMPO </t>
  </si>
  <si>
    <t>INSTALACION ELECTRICISTA</t>
  </si>
  <si>
    <t>ENTREGA LOTE 194 GABRIEL BAL</t>
  </si>
  <si>
    <t xml:space="preserve">ENTREGA PRONZATO </t>
  </si>
  <si>
    <t>PAGO A MISA PRODUCTORA OMEGA</t>
  </si>
  <si>
    <t>LIQUIDACION COMISIONES PROPSI TOTAL</t>
  </si>
  <si>
    <t xml:space="preserve">CAMBIO 50 USD </t>
  </si>
  <si>
    <t>VINILOS PARA MESA</t>
  </si>
  <si>
    <t>CIERRE CAJA</t>
  </si>
  <si>
    <t xml:space="preserve"> </t>
  </si>
  <si>
    <t>CAJA ABRIL 2025 - RAICES DE ALVEAR</t>
  </si>
  <si>
    <t>saldo inicial</t>
  </si>
  <si>
    <t>CAMBIO</t>
  </si>
  <si>
    <t>CAMBIO USD 1285 AGRIMENSOR</t>
  </si>
  <si>
    <t>OFICINA</t>
  </si>
  <si>
    <t>PAGO SILLON</t>
  </si>
  <si>
    <t>FLETE SILLON</t>
  </si>
  <si>
    <t>SOCIOS</t>
  </si>
  <si>
    <t>RETIRO MARCOS SUELDO</t>
  </si>
  <si>
    <t>LOTE</t>
  </si>
  <si>
    <t>ENTREGA LOTE 210</t>
  </si>
  <si>
    <t>ENTREGA LOTE 180</t>
  </si>
  <si>
    <t>FIDERZA</t>
  </si>
  <si>
    <t xml:space="preserve"> PAGO A FIDERZA LOTE 210/180</t>
  </si>
  <si>
    <t>CUOTA SUMMER 270 USD A $1300</t>
  </si>
  <si>
    <t>SUELDO SOCIOS</t>
  </si>
  <si>
    <t>COPIAS LLAVE OFICINA 4TO</t>
  </si>
  <si>
    <t>CUOTA 1 URIEL SANCHEZ (485)</t>
  </si>
  <si>
    <t>LIBRERIA TOMMY</t>
  </si>
  <si>
    <t>PLOTEO OFICINA</t>
  </si>
  <si>
    <t>DESARROLLO</t>
  </si>
  <si>
    <t>CAMBIO 1320 PAGO AGRIMENSOR</t>
  </si>
  <si>
    <t>LIBRERIA GUMMA</t>
  </si>
  <si>
    <t>LOTE 2 CONTADO</t>
  </si>
  <si>
    <t>VARIOS</t>
  </si>
  <si>
    <t>TAXI JONY</t>
  </si>
  <si>
    <t>CUOTA LOTE 135</t>
  </si>
  <si>
    <t>CAMBIO DOLARES CUOTA PRESTAMOS 1340</t>
  </si>
  <si>
    <t>PAGO AGRIMENSOR CUOTA 2</t>
  </si>
  <si>
    <t>CAMBIO DOLARES 1320</t>
  </si>
  <si>
    <t>ESTANTERIA OFICINA</t>
  </si>
  <si>
    <t>GASTOS TRAMITES Y TAXIS</t>
  </si>
  <si>
    <t>CUOTA</t>
  </si>
  <si>
    <t>CUOTA LOTE 124</t>
  </si>
  <si>
    <t>MARKETING MISA</t>
  </si>
  <si>
    <t>DEVOLUCION A BRIAN PAGO POR EL SUR</t>
  </si>
  <si>
    <t>CABLE DE CELULAR Y COSAS OFI</t>
  </si>
  <si>
    <t>COMISION</t>
  </si>
  <si>
    <t>LOTE 2 FEDE</t>
  </si>
  <si>
    <t xml:space="preserve">Lotes 210 y 180 BRUNO </t>
  </si>
  <si>
    <t>ENTREGA</t>
  </si>
  <si>
    <t>ENTREGA LOTES DIEGO 168 y 188</t>
  </si>
  <si>
    <t>COMISION LOTES 168 188 DIEGO M</t>
  </si>
  <si>
    <t>PAGO CERTIFICADO HIDRICO</t>
  </si>
  <si>
    <t>ENTREGA LOTE 170</t>
  </si>
  <si>
    <t>ENTREGA LOTE 205</t>
  </si>
  <si>
    <t>PAGO COMISION LOTE 170 (le debemos 25)</t>
  </si>
  <si>
    <t>CAMBIO DOLARES para mueble</t>
  </si>
  <si>
    <t>TAXI FIRMAS</t>
  </si>
  <si>
    <t>PAGO MUEBLE OFICINA</t>
  </si>
  <si>
    <t>IMPRESION</t>
  </si>
  <si>
    <t>TAXI TRIBUNAL X FIDEICOMISO</t>
  </si>
  <si>
    <t>entrega lote 190</t>
  </si>
  <si>
    <t>compra de 200 usd</t>
  </si>
  <si>
    <t>Lote 204 fede</t>
  </si>
  <si>
    <t>ARMADO MUEBLE OFICINA</t>
  </si>
  <si>
    <t>COMISION LOTE 190</t>
  </si>
  <si>
    <t>LIMPIEZA OFICINA</t>
  </si>
  <si>
    <t>LOTE 165</t>
  </si>
  <si>
    <t>LOTE 121 (ENTREGA/CUOTA 1)</t>
  </si>
  <si>
    <t>CAJA MAYO 2025 - RAICES DE ALVEAR</t>
  </si>
  <si>
    <t>SUELDO</t>
  </si>
  <si>
    <t>Sueldo Brian (1500 x 1175)</t>
  </si>
  <si>
    <t>Viaje al Sur BRIAN 500 usd x 1180</t>
  </si>
  <si>
    <t>Sueldo Jonatan x 1180</t>
  </si>
  <si>
    <t>Sueldo Marcos 1180</t>
  </si>
  <si>
    <t xml:space="preserve">compra contadora de billetes </t>
  </si>
  <si>
    <t>Retiro de sueldo Flor</t>
  </si>
  <si>
    <t>Entrega lote 133 (faltan 50 usd)</t>
  </si>
  <si>
    <t>PAGO 133,165,121</t>
  </si>
  <si>
    <t>Cuadro para oficna</t>
  </si>
  <si>
    <t>Cuota 2 Lote 167</t>
  </si>
  <si>
    <t>Cuota 192</t>
  </si>
  <si>
    <t>Cuota 1 Lote 210 (u$d 260)</t>
  </si>
  <si>
    <t>Cuota 1 Lote 205 (375 u$d x 1185)</t>
  </si>
  <si>
    <t>LOTE 117 contado</t>
  </si>
  <si>
    <t>Lote 180 cuota 1 (usd 280)</t>
  </si>
  <si>
    <t>compra equipo de mate</t>
  </si>
  <si>
    <t>libreria</t>
  </si>
  <si>
    <t>Taxis firma lote 117</t>
  </si>
  <si>
    <t>Entrega Lote 169 (billetes cara chica)</t>
  </si>
  <si>
    <t>Cambio usd para gastos</t>
  </si>
  <si>
    <t>Taxi firma lote 169</t>
  </si>
  <si>
    <t>Comision lote 169 (USD 400 + 75 en pesos)</t>
  </si>
  <si>
    <t>restante sueldo flor</t>
  </si>
  <si>
    <t>Lote 168 y 188 cuota 1 de 36</t>
  </si>
  <si>
    <t>LLaveros desarrollo</t>
  </si>
  <si>
    <t>Pago por Fideicomiso a estudio contable</t>
  </si>
  <si>
    <t>compras super</t>
  </si>
  <si>
    <t>Comision lote 117 (y 25 usd adeudados lote 170)</t>
  </si>
  <si>
    <t>Lotes 156 y 174 propsi</t>
  </si>
  <si>
    <t>Cuota 2 de 36 cuota lote 121</t>
  </si>
  <si>
    <t>Cuota 2 de 36 cuota lote 194</t>
  </si>
  <si>
    <t>cuota prestamo</t>
  </si>
  <si>
    <t>Cuota 2 Lote 172 summer</t>
  </si>
  <si>
    <t>Cosas varias para la oficina</t>
  </si>
  <si>
    <t>Pago Misael carpetas y honorarios</t>
  </si>
  <si>
    <t>Pago Lote a dueños del campo</t>
  </si>
  <si>
    <t>Entrega Lote 166</t>
  </si>
  <si>
    <t xml:space="preserve">Pago Marcos </t>
  </si>
  <si>
    <t>Limpienza oficina</t>
  </si>
  <si>
    <t>Retiro viaje al Sur</t>
  </si>
  <si>
    <t>rollos de papel</t>
  </si>
  <si>
    <t>taxi escribania</t>
  </si>
  <si>
    <t>Lotes 161,162 y 181</t>
  </si>
  <si>
    <t>LOTE 171(3000X1170)</t>
  </si>
  <si>
    <t>Lote 174</t>
  </si>
  <si>
    <t>RETIRO VIAJE AL SUR</t>
  </si>
  <si>
    <t>LOTE 163 Y 164</t>
  </si>
  <si>
    <t>LOTES 226 Y 225</t>
  </si>
  <si>
    <t>COMSIONES LOTES 163,164, 163, 225 Y 226</t>
  </si>
  <si>
    <t>COMISION LOTE 118</t>
  </si>
  <si>
    <t>LOTE 162</t>
  </si>
  <si>
    <t>COMISION LOTE 171</t>
  </si>
  <si>
    <t>LOTE 204</t>
  </si>
  <si>
    <t>LOTES 160,161 y 181</t>
  </si>
  <si>
    <t>LOTE 174</t>
  </si>
  <si>
    <t>ARREGLO LUZ OFICINA</t>
  </si>
  <si>
    <t>LOTE 195</t>
  </si>
  <si>
    <t>estufas para oficina</t>
  </si>
  <si>
    <t>ADELANTO JONY</t>
  </si>
  <si>
    <t>ADELANTO MARCOS</t>
  </si>
  <si>
    <t>LOTE 206</t>
  </si>
  <si>
    <t>COMPUTADORA NUEVA PARA OFICINA</t>
  </si>
  <si>
    <t>CAJA FUERTE BANCO</t>
  </si>
  <si>
    <t>Lote 175</t>
  </si>
  <si>
    <t>PROPSI</t>
  </si>
  <si>
    <t>LOTE 170</t>
  </si>
  <si>
    <t>LOTE 205</t>
  </si>
  <si>
    <t>CAJA JUNIO 2025 - RAICES DE ALVEAR</t>
  </si>
  <si>
    <t>LOTE 121 2 DE 60</t>
  </si>
  <si>
    <t>LUCIA CASAFUS</t>
  </si>
  <si>
    <t>FLORENCIA NICHEA</t>
  </si>
  <si>
    <t>MARCOS FRENDA (adelanto mes pasado 300 usd)</t>
  </si>
  <si>
    <t>JONATAN ALTUZARRA ($350.000 mes pasado)</t>
  </si>
  <si>
    <t>BRAIAN FARAMIÑAM</t>
  </si>
  <si>
    <t>CAJA DOLARES BANCO</t>
  </si>
  <si>
    <t>CENA VENDEDORES ESTABLO</t>
  </si>
  <si>
    <t>COMISION RESTANTE LOTES INICIA</t>
  </si>
  <si>
    <t>LOTE 189</t>
  </si>
  <si>
    <t>CUOTA LOTE  68</t>
  </si>
  <si>
    <t>AEREOS VIAJE AL SUR</t>
  </si>
  <si>
    <t>DEVOLUCION JONY A LA CAJA</t>
  </si>
  <si>
    <t>TECNICO DE PC</t>
  </si>
  <si>
    <t>PAGO A MISAEL CM RAICES</t>
  </si>
  <si>
    <t>BANCO</t>
  </si>
  <si>
    <t>ESTUDIO CONTABLE</t>
  </si>
  <si>
    <t>PAGO CUOTA PRESTAMO</t>
  </si>
  <si>
    <t>ALQUILER OFICINA JUNIO 2025</t>
  </si>
  <si>
    <t>lote 206 cuota 1y2</t>
  </si>
  <si>
    <t>Lote 162 cuota 1</t>
  </si>
  <si>
    <t>lote 210</t>
  </si>
  <si>
    <t>Lote 195 cuota 1</t>
  </si>
  <si>
    <t>lote 194</t>
  </si>
  <si>
    <t>AGUA CIMMES</t>
  </si>
  <si>
    <t>TAXI LUCI Y FLOR JUNIO</t>
  </si>
  <si>
    <t>Lote 160,161,181 cuota 1</t>
  </si>
  <si>
    <t>Lotes 192 cuota 2</t>
  </si>
  <si>
    <t>CUOTA 1 LOTES 212,213,214</t>
  </si>
  <si>
    <t>LOTE 89</t>
  </si>
  <si>
    <t>CUOTA LOTE 172</t>
  </si>
  <si>
    <t xml:space="preserve"> CUOTA</t>
  </si>
  <si>
    <t>CUOTA 1 LOTE 171</t>
  </si>
  <si>
    <t>COMPRA PAVA ELECTRICA</t>
  </si>
  <si>
    <t>VINILO PARA OFICINA</t>
  </si>
  <si>
    <t>CUOTA 1 LOTE 68 (YANQUIRIMACHI)</t>
  </si>
  <si>
    <t>INSUMOS REUNION ROLDAN</t>
  </si>
  <si>
    <t>CONTABLE</t>
  </si>
  <si>
    <t>cambio de dolar para pagar vep</t>
  </si>
  <si>
    <t>Lote 166 cuota 1</t>
  </si>
  <si>
    <t>CAJA BANCO</t>
  </si>
  <si>
    <t xml:space="preserve"> SE RETIRA DEL BANCO E INGRESA</t>
  </si>
  <si>
    <t>RAICES</t>
  </si>
  <si>
    <t>PAGO DE LOTES A PENDICA (3500 C/U</t>
  </si>
  <si>
    <t>TAXIS JONATAN</t>
  </si>
  <si>
    <t>LIBRERIA RESMAS</t>
  </si>
  <si>
    <t>LIMPIEZA</t>
  </si>
  <si>
    <t>INGENIERO HIDRICO</t>
  </si>
  <si>
    <t>COMPRAS OFICINA</t>
  </si>
  <si>
    <t>Lote 90,91 y83</t>
  </si>
  <si>
    <t>LOTE 90,91 Y 83</t>
  </si>
  <si>
    <t>MUNDO CONSTRUCCION (propsi 50%)</t>
  </si>
  <si>
    <t xml:space="preserve">SUELDO + COMPENSACION </t>
  </si>
  <si>
    <t>LOTE 129</t>
  </si>
  <si>
    <t>CUOTA LOTE 126</t>
  </si>
  <si>
    <t>CUOTA LOTE 168 188</t>
  </si>
  <si>
    <t>CUOTA LOTE 169</t>
  </si>
  <si>
    <t>COMISION LOTE 121 TOMAS VIGNOLO</t>
  </si>
  <si>
    <t>MENSUALIDAD EDICION MASTERPLAN</t>
  </si>
  <si>
    <t>CAJA JULIO 2025 - RAICES DE ALVEAR</t>
  </si>
  <si>
    <t>Lote 162 cuota 2</t>
  </si>
  <si>
    <t>DIFERENCIA COMPLEMENTO JONY Y MARCOS</t>
  </si>
  <si>
    <t>LOTE 37</t>
  </si>
  <si>
    <t>LOTE 121</t>
  </si>
  <si>
    <t>LOTE 88</t>
  </si>
  <si>
    <t>SELLOS JUN</t>
  </si>
  <si>
    <t>INGRESA EFECTIVO POR PAGO DE SELLOS BANCO</t>
  </si>
  <si>
    <t>CAJA</t>
  </si>
  <si>
    <t>INGRESO CAJA FUERTE</t>
  </si>
  <si>
    <t>SUELDO Flor</t>
  </si>
  <si>
    <t>SUELDO+BONO+PREPAGA</t>
  </si>
  <si>
    <t>SUELDO Luci</t>
  </si>
  <si>
    <t>PAGO</t>
  </si>
  <si>
    <t>MISAEL FARIAS</t>
  </si>
  <si>
    <t>ALQUILER</t>
  </si>
  <si>
    <t>REDACCION MOD DE CONTRATOS (EST SALVATIERRA)</t>
  </si>
  <si>
    <t>CAMBIO USD A 1240</t>
  </si>
  <si>
    <t>CUOTA  2 160,161 Y 181</t>
  </si>
  <si>
    <t>FARMACIA TE VIC OFICINA</t>
  </si>
  <si>
    <t>CUOTA   5 PRESTAMO</t>
  </si>
  <si>
    <t>COMPRAS MINIMARKET</t>
  </si>
  <si>
    <t>CUOTA 1 LOTE 89</t>
  </si>
  <si>
    <t>CUOTA 1 LOTE 189 (DEJO 20 A FAVOR CUOTA 2)</t>
  </si>
  <si>
    <t>REGALO MECHI</t>
  </si>
  <si>
    <t>CUOTA 1 DUEÑ0 DEL CAMPO</t>
  </si>
  <si>
    <t>CAMBIO USD 1250</t>
  </si>
  <si>
    <t xml:space="preserve">CUOTA  2 LOTE169 </t>
  </si>
  <si>
    <t>CUOTA  4 LOTE 194</t>
  </si>
  <si>
    <t>CUOTA LOTE 68 (166 USD)</t>
  </si>
  <si>
    <t>COCHERA SOCIOS</t>
  </si>
  <si>
    <t>ENTREGA LOTE 84</t>
  </si>
  <si>
    <t>INSUMOS OFICINA</t>
  </si>
  <si>
    <t>Taxis</t>
  </si>
  <si>
    <t>ARCA</t>
  </si>
  <si>
    <t>IIBB JUNIO</t>
  </si>
  <si>
    <t>CUOTA 2 lote 166</t>
  </si>
  <si>
    <t>MANTENIMIENTO CUENTA CORRIENTE CAJA SEG</t>
  </si>
  <si>
    <t>CUOTA 2 LOTE 171</t>
  </si>
  <si>
    <t>LOTE 184</t>
  </si>
  <si>
    <t>WEB + REDES</t>
  </si>
  <si>
    <t>CUOTA Y PAGO DE ESCRIABANIA 172</t>
  </si>
  <si>
    <t>BOLETO SUMMER</t>
  </si>
  <si>
    <t>VIAJE AL SUR NEGOCIACIONES</t>
  </si>
  <si>
    <t>CUOTA 2 DE 20 LOTES 212,213,214</t>
  </si>
  <si>
    <t>PROYECTO</t>
  </si>
  <si>
    <t>PAGO MENSUAL FACU O</t>
  </si>
  <si>
    <t>DEVOLUCION CAMBIO DE LOTE (117 A 193)</t>
  </si>
  <si>
    <t>PLANOS PREMENSURA ALVEAR</t>
  </si>
  <si>
    <t>CIMES AGUA</t>
  </si>
  <si>
    <t>ALMUERZO LUCI y FLOR</t>
  </si>
  <si>
    <t>COCHERA ESCRIBANIA/FIRMAS</t>
  </si>
  <si>
    <t>ENTREGAS</t>
  </si>
  <si>
    <t>LOTE 86,87 Y 67</t>
  </si>
  <si>
    <t>COMPRAS VARIAS OFICINA</t>
  </si>
  <si>
    <t xml:space="preserve">LOTE 86 Y87 </t>
  </si>
  <si>
    <t>VEHICULOS VIAJES</t>
  </si>
  <si>
    <t>COMISION LOTE 37 Y 88</t>
  </si>
  <si>
    <t>CAJA AGOSTO 2025 - RAICES DE ALVEAR</t>
  </si>
  <si>
    <t>SUELDO SOCIOS BRAIAN</t>
  </si>
  <si>
    <t>SUELDO SOCIOS MARCOS</t>
  </si>
  <si>
    <t>SUELDO SOCIOS JONATAN</t>
  </si>
  <si>
    <t>SUELDO LUCIA</t>
  </si>
  <si>
    <t>SUELDO FLORENCIA</t>
  </si>
  <si>
    <t>CUOTA 4 DE 60 LOTE 121</t>
  </si>
  <si>
    <t>Cuota 3 de 36 (160,180 y 181)</t>
  </si>
  <si>
    <t>CUOTA 2 y 3 Lote 189</t>
  </si>
  <si>
    <t>Sueldo Agus</t>
  </si>
  <si>
    <t>Cuota 3 de 36 Lote 206</t>
  </si>
  <si>
    <t xml:space="preserve">LOTE 66 y 67 </t>
  </si>
  <si>
    <t>Cuota 4 de 36 168 y 188</t>
  </si>
  <si>
    <t>LOTE 68</t>
  </si>
  <si>
    <t>cuota 2 DE 35 LOTE 166</t>
  </si>
  <si>
    <t>Cuota 1 Lote 88</t>
  </si>
  <si>
    <t>CUOTA  5 lote 194</t>
  </si>
  <si>
    <t>IMPRESORA</t>
  </si>
  <si>
    <t>CUOTA SUMMER</t>
  </si>
  <si>
    <t>CUOTA PRESTAMO</t>
  </si>
  <si>
    <t>ALQUILER OFICINA</t>
  </si>
  <si>
    <t xml:space="preserve">COCHERAS </t>
  </si>
  <si>
    <t>ENTREGA LOTE 152</t>
  </si>
  <si>
    <t>ENTREGA LOTE 85</t>
  </si>
  <si>
    <t>CUOTA URIEL</t>
  </si>
  <si>
    <t>COMISION LOTE 85 Y 152</t>
  </si>
  <si>
    <t>COMISION LOTE 229/65/66/67</t>
  </si>
  <si>
    <t>CAJA FUERTE</t>
  </si>
  <si>
    <t>CUOTA 3 DE 24 171</t>
  </si>
  <si>
    <t>AGUAS CIMES</t>
  </si>
  <si>
    <t>IMPRESIONES</t>
  </si>
  <si>
    <t>TAXI ESCRIBANIA</t>
  </si>
  <si>
    <t>CARPETAS RAICES</t>
  </si>
  <si>
    <t>IMPRESION PLANO</t>
  </si>
  <si>
    <t>CUOTA MARCELO summer</t>
  </si>
  <si>
    <t>TAXIS ROLDAN</t>
  </si>
  <si>
    <t>CERTIFICADO HIDRICO 1</t>
  </si>
  <si>
    <t>AGRIMENSOR PREMENSURA</t>
  </si>
  <si>
    <t>TIMBRE OFICINA</t>
  </si>
  <si>
    <t>CAMBIO USD</t>
  </si>
  <si>
    <t>PAGO TRABAJO RAICES</t>
  </si>
  <si>
    <t>ENTREGA LOTE 22, (pendiente la entrega de usd 100)</t>
  </si>
  <si>
    <t>GASTOS MANTENIMIENTO CUENTA Y CAJA</t>
  </si>
  <si>
    <t>LIBROS CONTABLES</t>
  </si>
  <si>
    <t>ADELANTO SUELDO MARCOS</t>
  </si>
  <si>
    <t>CAÑOS Y FLETE</t>
  </si>
  <si>
    <t>MATERIAL Y MANO DE OBRA MOJONES</t>
  </si>
  <si>
    <t>TAXIS ESCRIBANIA</t>
  </si>
  <si>
    <t>CERTIFICACION FIRMA CONTRATO</t>
  </si>
  <si>
    <t>CONTRATO ING ELECTRICO</t>
  </si>
  <si>
    <t>COMISION LOTE 86 Y 87</t>
  </si>
  <si>
    <t>COMISION LOTE 51</t>
  </si>
  <si>
    <t>CAJA SEPTIEMBRE 2025 - RAICES DE ALVEAR</t>
  </si>
  <si>
    <t>RETIRO CAJA FUERTE PAGO LOTES A PENDICA</t>
  </si>
  <si>
    <t>TAXIS</t>
  </si>
  <si>
    <t>DESCUBIERTO BANCO</t>
  </si>
  <si>
    <t>ENTREGA LOTE 52</t>
  </si>
  <si>
    <t>SUELDO MARCOS</t>
  </si>
  <si>
    <t>SUELDO BRIAN</t>
  </si>
  <si>
    <t>SUELDO JONY</t>
  </si>
  <si>
    <t>API RAICES</t>
  </si>
  <si>
    <t>CUOTA 5 DE 6O LOTE 121</t>
  </si>
  <si>
    <t>CAMBIO USD X 1330</t>
  </si>
  <si>
    <t>COMPRAS KIOSCO</t>
  </si>
  <si>
    <t>SUELDO FACU DISPONIBILIDAD</t>
  </si>
  <si>
    <t>CUOTA 1 LOTE 85</t>
  </si>
  <si>
    <t>COMISION LOTE 5 Y 52</t>
  </si>
  <si>
    <t>LOTE 166 CUOTA 2</t>
  </si>
  <si>
    <t>LOTE 195 CUOTA  4 DE 36</t>
  </si>
  <si>
    <t>HONORARIOS CONTADOR</t>
  </si>
  <si>
    <t>PRESTAMOS CUOTA</t>
  </si>
  <si>
    <t>CUOTA 4 LOTE 160,181, 161</t>
  </si>
  <si>
    <t>CUOTA  4 Lote 189</t>
  </si>
  <si>
    <t>CUOTA 2 LOTE 68</t>
  </si>
  <si>
    <t>CUOTA 6 Lote 196</t>
  </si>
  <si>
    <t>ENTREGA LOTE 26</t>
  </si>
  <si>
    <t>CUOTA 4 LOTE 206</t>
  </si>
  <si>
    <t>CUOTA 4 LOTE 169</t>
  </si>
  <si>
    <t>CONTADOR FIDERZA</t>
  </si>
  <si>
    <t>COCHERAS</t>
  </si>
  <si>
    <t>CUOTA LOTE 167</t>
  </si>
  <si>
    <t xml:space="preserve">ENTREGA </t>
  </si>
  <si>
    <t>LOTE 6 RAICES</t>
  </si>
  <si>
    <t>CUOTA LOTES DUEÑOS DEL CAMPO</t>
  </si>
  <si>
    <t>EXTRACCION BANCO</t>
  </si>
  <si>
    <t>COMPRA LOTES PENDICA</t>
  </si>
  <si>
    <t>CAMBIO USD X 1430</t>
  </si>
  <si>
    <t>SOCIO</t>
  </si>
  <si>
    <t>RETIRO SOCIO BRAIAN</t>
  </si>
  <si>
    <t>COMISION LOTE 6</t>
  </si>
  <si>
    <t>LOTE 172 CUOTA 6</t>
  </si>
  <si>
    <t>ENTREGA LOTE 202</t>
  </si>
  <si>
    <t>CAPSULAS CAFE</t>
  </si>
  <si>
    <t>COMPRAS LIMPIEZA</t>
  </si>
  <si>
    <t>CM RAICES</t>
  </si>
  <si>
    <t>CUOTA 4 LOTE 171</t>
  </si>
  <si>
    <t>CAFE COMERCIAL GAMAG/ GIOIOSA</t>
  </si>
  <si>
    <t>CUOTA SUMMER MARCELO</t>
  </si>
  <si>
    <t>INGENIERO ELECTRICO</t>
  </si>
  <si>
    <t>AGUA</t>
  </si>
  <si>
    <t xml:space="preserve">CAMBIO USD A </t>
  </si>
  <si>
    <t>DEPOSITO PARA PAGOS DE SELLOS</t>
  </si>
  <si>
    <t>LIBRERIA FIDERZA</t>
  </si>
  <si>
    <t>HONORARIOS CONTRATOS DE ALQUILER+ESCRI</t>
  </si>
  <si>
    <t>RETIRO SOCIO MARCOS</t>
  </si>
  <si>
    <t>RETIRO JONY</t>
  </si>
  <si>
    <t>ALMUERZO</t>
  </si>
  <si>
    <t xml:space="preserve">AMOJONAMIENTO RAICES </t>
  </si>
  <si>
    <t>COMISION LOTE 21 RAICES</t>
  </si>
  <si>
    <t>COMISION LOTE 26 RAICES</t>
  </si>
  <si>
    <t>CAJA OCTUBRE 2025 - RAICES DE ALVEAR</t>
  </si>
  <si>
    <t>SUELDO JONATAN</t>
  </si>
  <si>
    <t>SUELDO MARCOS (300 x banco) + usd1450 x 1430</t>
  </si>
  <si>
    <t>SUELDO BRAIAN</t>
  </si>
  <si>
    <t>VIAJE AL SUR BRAIAN</t>
  </si>
  <si>
    <t>PLANOS RAICES</t>
  </si>
  <si>
    <t>LOTE 121 CUOTA 6</t>
  </si>
  <si>
    <t>GASTOS BANCARIOS</t>
  </si>
  <si>
    <t>INTERNET CLARO (SEP Y OCT)</t>
  </si>
  <si>
    <t>DESAYUNO OFICINA</t>
  </si>
  <si>
    <t>LOTE 189 CUOTA 5 (TENIA 80 USD A FAVOR)</t>
  </si>
  <si>
    <t>LOTE 195 CUOTA 5</t>
  </si>
  <si>
    <t>CAMBIO USD 2000 X 1455</t>
  </si>
  <si>
    <t>HONORARIOS CONTADOR FIDERZA</t>
  </si>
  <si>
    <t>LIBRERIA</t>
  </si>
  <si>
    <t>HONORARIOS CONTADOR RAICES</t>
  </si>
  <si>
    <t>CUOTAS LOTES PENDICA (4 DE 36 Y 1 DE 36)</t>
  </si>
  <si>
    <t>CERTIFICACION DE FIRMA CONTRATO DE CANJE</t>
  </si>
  <si>
    <t>LOTE 160,161 y 181 cuota 5</t>
  </si>
  <si>
    <t>LOTE 206 cuota 5</t>
  </si>
  <si>
    <t>LOTE 85 cuota 2</t>
  </si>
  <si>
    <t>LOTE 166 CUOTA 4</t>
  </si>
  <si>
    <t>LOTE 166 3 de 36</t>
  </si>
  <si>
    <t>LOTE 194 7 de 24</t>
  </si>
  <si>
    <t>PRESTAMO</t>
  </si>
  <si>
    <t>CUOTA LOTE 172 CUOTA 7</t>
  </si>
  <si>
    <t>COMISION LOTE 201 PARTE EN PESOS</t>
  </si>
  <si>
    <t>COMPRAS MINIMARKET + TAXIS SEMANALES</t>
  </si>
  <si>
    <t xml:space="preserve">LIMPIEZA </t>
  </si>
  <si>
    <t>COMISION LOTE 187 (FALTAN DARLES 28 USD)</t>
  </si>
  <si>
    <t>CONTADO LOTE 187</t>
  </si>
  <si>
    <t>LOTE 201 CONTADO 9.700 EUROS</t>
  </si>
  <si>
    <t>COMISION LOTE 201 300 EUROS PROPSI</t>
  </si>
  <si>
    <t>CUOTA 5 LOTE 171</t>
  </si>
  <si>
    <t>COMPRAS KIOSCO/SUPER</t>
  </si>
  <si>
    <t>MAQUINA CONTADORA DE BILLETES</t>
  </si>
  <si>
    <t>VEP LUCIA</t>
  </si>
  <si>
    <t>MENSUALIDAD AGUA</t>
  </si>
  <si>
    <t>PRODUCTOS DE LIMPIEZA</t>
  </si>
  <si>
    <t>API CAMPO RAICES</t>
  </si>
  <si>
    <t>PAGO PERFORACION  RAICES Y BOMBA</t>
  </si>
  <si>
    <t>EDICION MENSUAL MASTERPLAN</t>
  </si>
  <si>
    <t>CUOTA LOTE MARCELO SUMMER</t>
  </si>
  <si>
    <t>CAJA NOVIEMBRE 2025 - RAICES DE ALVEAR</t>
  </si>
  <si>
    <t>CUOTA  6 DE 36 LOTE 210</t>
  </si>
  <si>
    <t xml:space="preserve">SUELDO LUCIA </t>
  </si>
  <si>
    <t xml:space="preserve">CUOTA 2 DE 36 LOTE 22 </t>
  </si>
  <si>
    <t>STICKERS RAICES</t>
  </si>
  <si>
    <t>ESCANEAR PLANO RAICES</t>
  </si>
  <si>
    <t>CUOTA  7 LOTE 168 y 188</t>
  </si>
  <si>
    <t>UBER A COCHABAMBA</t>
  </si>
  <si>
    <t>CUOTA 7 LOTE 121</t>
  </si>
  <si>
    <t>ANTICIPO COLOCACION PILAR</t>
  </si>
  <si>
    <t>HONORARIOS ESTUDIO LAVIA</t>
  </si>
  <si>
    <t xml:space="preserve">PRESTAMO CUOTA 9 </t>
  </si>
  <si>
    <t>INGRESAN USD DE LA CAJA DE SEGURIDAD</t>
  </si>
  <si>
    <t>CAMBIO USD X 1405</t>
  </si>
  <si>
    <t>CUOTA 4 DE 32 LOTE 68</t>
  </si>
  <si>
    <t>PAGO PUBLICIDAD TATI, MESES ADEUDADOS</t>
  </si>
  <si>
    <t>EXPENSAS</t>
  </si>
  <si>
    <t>CUOTA 6 LOTE 160,161 Y 181</t>
  </si>
  <si>
    <t>LOTE 85 CUOTA 3</t>
  </si>
  <si>
    <t>LOTE 194 CUOTA 8</t>
  </si>
  <si>
    <t xml:space="preserve">CUOTA LOTE 172 </t>
  </si>
  <si>
    <t>LOTE 166 CUOTA 5</t>
  </si>
  <si>
    <t>CAJA CHICA RAICES A DESARROLLADORA G + PAGO SUR</t>
  </si>
  <si>
    <t>TACOS OBRADOR RAICES</t>
  </si>
  <si>
    <t>CONTADOR HONORARIOS</t>
  </si>
  <si>
    <t>ELECTRICISTA</t>
  </si>
  <si>
    <t>INSUMOS ELECTRICISTA</t>
  </si>
  <si>
    <t>CORTADOR DE CESPED</t>
  </si>
  <si>
    <t>PAGOS OFICINA</t>
  </si>
  <si>
    <t xml:space="preserve">IMPRESORA </t>
  </si>
  <si>
    <t>CAMBIO USD X 1410</t>
  </si>
  <si>
    <t>PAGO INGENIERO HIDRICO</t>
  </si>
  <si>
    <t>CUOTAS LOTES PENDICA (5 DE 36 Y 2 DE 36)</t>
  </si>
  <si>
    <t>CAMBIO USD 1500 MANCHADO</t>
  </si>
  <si>
    <t>CUOTA  8 LOTE 167</t>
  </si>
  <si>
    <t xml:space="preserve">PAGO ALBAÑIL RAICES </t>
  </si>
  <si>
    <t>SUPER</t>
  </si>
  <si>
    <t>LLAVES OFICIN</t>
  </si>
  <si>
    <t>CUOTA 6 DE 24 LOTE 171</t>
  </si>
  <si>
    <t>LLAVES ELECTRONICAS</t>
  </si>
  <si>
    <t>PAGO ALBAÑIL RAICES</t>
  </si>
  <si>
    <t>50 % CANON MENSUAL CM RAICES</t>
  </si>
  <si>
    <t>UBER Y COMPRAS</t>
  </si>
  <si>
    <t>INSUMOS INSTALACION AIRE</t>
  </si>
  <si>
    <t>INSTALACION AIRE ELECTRICISTA</t>
  </si>
  <si>
    <t>PAGO FINAL CM ANTERIOR (MISAEL Y AGUSTIN)</t>
  </si>
  <si>
    <t>PAGO LUZ OFICINA</t>
  </si>
  <si>
    <t>ENTREGA LOTE 54</t>
  </si>
  <si>
    <t>RETIRO MARCOS</t>
  </si>
  <si>
    <t>UBER CAPACITACION SISTEMA</t>
  </si>
  <si>
    <t>COMPRAS SUPER</t>
  </si>
  <si>
    <t>INGRESA DINERO CAJA FUERTE</t>
  </si>
  <si>
    <t>RESCISION LOTE 133</t>
  </si>
  <si>
    <t>CAMBIO USD X1450</t>
  </si>
  <si>
    <t>PAGO SEMANAL ALBAÑILES</t>
  </si>
  <si>
    <t>CAJA CHICA DESARROLLADORA G</t>
  </si>
  <si>
    <t>COMISION LOTE 54</t>
  </si>
  <si>
    <t>COMPRA USD A PROPSI X 1410</t>
  </si>
  <si>
    <t>DINERO A CAJA FUERA</t>
  </si>
  <si>
    <t>CAJA DICIEMBRE 2025 - RAICES DE ALVEAR</t>
  </si>
  <si>
    <t>ADELANTO ALBAÑIL RAICES</t>
  </si>
  <si>
    <t>SUELDO LUCI</t>
  </si>
  <si>
    <t>SUELDO FACU</t>
  </si>
  <si>
    <t>SUELDO FLOR</t>
  </si>
  <si>
    <t>INGRESA DINERO DEL BANCO (EXTRACCION)</t>
  </si>
  <si>
    <t>COCHERA FIRMA</t>
  </si>
  <si>
    <t xml:space="preserve">ALQUILER </t>
  </si>
  <si>
    <t xml:space="preserve"> ALTA LUZ EPE + BOLETAS ATRASADAS</t>
  </si>
  <si>
    <t>CUOTA 1 LOTE 129</t>
  </si>
  <si>
    <t>AGUINALDO LUCIA</t>
  </si>
  <si>
    <t>AGUINALDO FLORENCIA</t>
  </si>
  <si>
    <t>CUOTA LOTE + PAGO PENDICA</t>
  </si>
  <si>
    <t xml:space="preserve">CUOTA 7 LOTE 160/161 Y 181 </t>
  </si>
  <si>
    <t>PAGO SEMANAL ALBAÑILERIA</t>
  </si>
  <si>
    <t>CUOTA 9 LOTE 167</t>
  </si>
  <si>
    <t>CUOTA 9 LOTE 194</t>
  </si>
  <si>
    <t>CONTADOR RAICES</t>
  </si>
  <si>
    <t>CUOTA 9 LOTE 68</t>
  </si>
  <si>
    <t>CUOTA 7 LOTE 206</t>
  </si>
  <si>
    <t>CUOTA 4 LOTE 85</t>
  </si>
  <si>
    <t>ADELANTO ALBAÑIL</t>
  </si>
  <si>
    <t>SEGURO ALBAÑILES</t>
  </si>
  <si>
    <t>CUOTA 6 LOTE 166</t>
  </si>
  <si>
    <t>CAMBIO USD X 1422</t>
  </si>
  <si>
    <t>EXPENSAS OFICINA</t>
  </si>
  <si>
    <t>CAJA NAVIDEÑA</t>
  </si>
  <si>
    <t>LOTE 119 CUOTA 7 (72 usd a favor) x $1460</t>
  </si>
  <si>
    <t xml:space="preserve">CUOTA 8 LOTE 280 </t>
  </si>
  <si>
    <t>CUOTA 1 AIRE OFICINA</t>
  </si>
  <si>
    <t>CUOTA 9 LOTE  172</t>
  </si>
  <si>
    <t>COMISION LOTES 22 Y 202</t>
  </si>
  <si>
    <t xml:space="preserve">CAMBIO USD X 1455 </t>
  </si>
  <si>
    <t>COMPRA SOCIOS CAJAS BEBIDA</t>
  </si>
  <si>
    <t>CIMES</t>
  </si>
  <si>
    <t>CAJA NAVIDEÑA SILVI</t>
  </si>
  <si>
    <t>LOTE 171 cuota 7</t>
  </si>
  <si>
    <t>CAMBIO USD X1460</t>
  </si>
  <si>
    <t>PAGO CORTE CESPED</t>
  </si>
  <si>
    <t>ENTREGA LOTE 127</t>
  </si>
  <si>
    <t>CAMBIO USD 700 Y 200 POR BANCO PARA PAGOS</t>
  </si>
  <si>
    <t>REGALOS EMRESARIALES</t>
  </si>
  <si>
    <t>PAGO MARKETING</t>
  </si>
  <si>
    <t xml:space="preserve">REGALOS NAVIDEÑOS </t>
  </si>
  <si>
    <t>CAMBIO USD PARA PAGO ALBAÑIL X1470</t>
  </si>
  <si>
    <t>CAJA ENERO 2026 - RAICES DE ALVEAR</t>
  </si>
  <si>
    <t>INGRESAN USD DESDE EL BANCO</t>
  </si>
  <si>
    <t>INGRESAN $ DESDE EL BANCO</t>
  </si>
  <si>
    <t>SUELDO FACU + PREPAGA</t>
  </si>
  <si>
    <t>EPE ENERO 2026</t>
  </si>
  <si>
    <t>DEUDA EPE 2025</t>
  </si>
  <si>
    <t>CAMBIO USD X 1480 PARA SELLOS ING HIDRICO</t>
  </si>
  <si>
    <t>SELLOS ING HIDRICO</t>
  </si>
  <si>
    <t>HONORARIOS CONTADOR EXPIRIENCE</t>
  </si>
  <si>
    <t>LOTE 121 CUOTA 9 DE 60</t>
  </si>
  <si>
    <t>LOTE 22 CUOTA 4</t>
  </si>
  <si>
    <t>DEUDA LOTE PRONZATO</t>
  </si>
  <si>
    <t>LOTE 166 CUOTA 7</t>
  </si>
  <si>
    <t>DINERO PARA GASTOS DESARROLLADORA G</t>
  </si>
  <si>
    <t>CUOTA 8 LOTE 160,161 Y 181</t>
  </si>
  <si>
    <t xml:space="preserve">PAGO EXPENSAS </t>
  </si>
  <si>
    <t>CUOTA 1 LOTE 54, A FAVOR 20 USD</t>
  </si>
  <si>
    <t>PAGO SEMANAL ALBAÑIL</t>
  </si>
  <si>
    <t>LOTE 206 CUOTA 8</t>
  </si>
  <si>
    <t>COCHERAS OFICNA</t>
  </si>
  <si>
    <t>Lote 69 cuota 8</t>
  </si>
  <si>
    <t>LOTE 68 CUOTA 6</t>
  </si>
  <si>
    <t>LoTE 85 cuota 5 y 6</t>
  </si>
  <si>
    <t>LOTE 167 Cuota 10</t>
  </si>
  <si>
    <t>AIRE AMR</t>
  </si>
  <si>
    <t>CUOTA 1 LOTE YEGROS</t>
  </si>
  <si>
    <t>AGUA DISPENSER</t>
  </si>
  <si>
    <t>ENTREGA LOTE 123 + CAMBIO CON RENATO</t>
  </si>
  <si>
    <t>SELLOS LOTE 123</t>
  </si>
  <si>
    <t>TAXIS FIRMA</t>
  </si>
  <si>
    <t>RESERVA OFICINA NUEVA (GLORIA)</t>
  </si>
  <si>
    <t>ENTREGA LOTE 149 + SELLOS</t>
  </si>
  <si>
    <t xml:space="preserve">CAMBIO USD  </t>
  </si>
  <si>
    <t>COMISION FEDE LOTE 149 Y 246</t>
  </si>
  <si>
    <t>IMPRESION CASA GUMA</t>
  </si>
  <si>
    <t>ENTREGA RESTANTE LOTE 123</t>
  </si>
  <si>
    <t>PAGO MENSUAL MARKETING</t>
  </si>
  <si>
    <t>CUOTA 8 LOTE 171</t>
  </si>
  <si>
    <t>PINTURA Y MATERIALES OFICINA 2</t>
  </si>
  <si>
    <t>PRODUCCION RAICES + COMBUSTIBLE</t>
  </si>
  <si>
    <t>COMPRAS CASA GUMA</t>
  </si>
  <si>
    <t>ALMUERZO JONY</t>
  </si>
  <si>
    <t>CUOTA 11 LOTE 194</t>
  </si>
  <si>
    <t>CAMBIO USD PARA PAGO SEMANAL ALBAÑIL</t>
  </si>
  <si>
    <t>GASTOS NUEVO CONTRATO DE ALQUILER</t>
  </si>
  <si>
    <t>SOPORTES PC</t>
  </si>
  <si>
    <t>COMPRAS VARIAS OFI</t>
  </si>
  <si>
    <t>CAJA FEBRERO 2026 - RAICES DE ALVEAR</t>
  </si>
  <si>
    <t>COMPRAS OFI</t>
  </si>
  <si>
    <t>ARREGLOS PLOMERIA OFICINA NUEVA</t>
  </si>
  <si>
    <t>SELLADOS LOTES ALLEGRA</t>
  </si>
  <si>
    <t>TAXIS FIRMA ESCRIBANIA</t>
  </si>
  <si>
    <t xml:space="preserve">CUOTA LOTES ARIEL GRANDI </t>
  </si>
  <si>
    <t>CAMBIO USD X 1440</t>
  </si>
  <si>
    <t>CUOTA LOTE 54</t>
  </si>
  <si>
    <t>CUOTA 5 LOTE 22</t>
  </si>
  <si>
    <t>ENTREGA LOTE 140</t>
  </si>
  <si>
    <t>SELLADOS LOTE 140</t>
  </si>
  <si>
    <t>CORPORATIVA CREDITO</t>
  </si>
  <si>
    <t>CAMBIO USD PARA SUELDOS</t>
  </si>
  <si>
    <t>RESMA OFICINA</t>
  </si>
  <si>
    <t>PAGO COCHERAS</t>
  </si>
  <si>
    <t>INGRESAN DE LA CJA DE SEG</t>
  </si>
  <si>
    <t>RETIRO BRAIAN</t>
  </si>
  <si>
    <t>RETIRO MARCOS X BANCO (3000)</t>
  </si>
  <si>
    <t>PAGO COMISION LOTE 140</t>
  </si>
  <si>
    <t>CUOTA 1 LOTE 123</t>
  </si>
  <si>
    <t>PAGO CONTADOR FIDERZA</t>
  </si>
  <si>
    <t>LOTE 206 cuota 9</t>
  </si>
  <si>
    <t>CUOTA 7 LOTE 68</t>
  </si>
  <si>
    <t>ENTREGA LOTE 178</t>
  </si>
  <si>
    <t>CUOTA 2 LOTE 178</t>
  </si>
  <si>
    <t>IMPRESORA OFICNA</t>
  </si>
  <si>
    <t>HONORARIOS CONTABLES</t>
  </si>
  <si>
    <t>AGENCIA DE MARKETING</t>
  </si>
  <si>
    <t>CUOTA  11 LOTE 194</t>
  </si>
  <si>
    <t>CUOTA 11 LOTE 167</t>
  </si>
  <si>
    <t>LOTE 160,161 Y 181</t>
  </si>
  <si>
    <t xml:space="preserve"> CUOTA 7 LOTE 85</t>
  </si>
  <si>
    <t>PAGO COMISION LOTE 178</t>
  </si>
  <si>
    <t>CUOTA 2 LOTE 129</t>
  </si>
  <si>
    <t>CAMBIO USD 1425</t>
  </si>
  <si>
    <t>CHIP NUEVO PARA POST VENTA</t>
  </si>
  <si>
    <t>CUOTA 10 LOTE 121</t>
  </si>
  <si>
    <t>PRESUPUESTO PINTURA ALVEAR</t>
  </si>
  <si>
    <t>ULTIMA CUOTA PRESTAMOS</t>
  </si>
  <si>
    <t>CUOTA 2 AIRE</t>
  </si>
  <si>
    <t>HORA EXTRA POR MUDANZA LUCI</t>
  </si>
  <si>
    <t>HORA EXTRA POR MUDANZA FACU</t>
  </si>
  <si>
    <t>AGUA OFICINA</t>
  </si>
  <si>
    <t>CUOTA 11 LOTE 172</t>
  </si>
  <si>
    <t>UBER AMR</t>
  </si>
  <si>
    <t>YERBA OFICINA</t>
  </si>
  <si>
    <t>PAGO CARTEL</t>
  </si>
  <si>
    <t>TAXIS CARTEL</t>
  </si>
  <si>
    <t xml:space="preserve"> Y CAMBIO USD</t>
  </si>
  <si>
    <t>TRABAJOS SEMANAL ALBAÑILERIA</t>
  </si>
  <si>
    <t>LOTE 171 CUOTA 9</t>
  </si>
  <si>
    <t>PAGO JORGE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</si>
</sst>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\ #,##0.00"/>
    <numFmt numFmtId="165" formatCode="[$U$D ]#,##0.00"/>
    <numFmt numFmtId="166" formatCode="&quot;$&quot;#,##0.00"/>
    <numFmt numFmtId="167" formatCode="dd/mm"/>
    <numFmt numFmtId="168" formatCode="dd/mm/yyyy"/>
    <numFmt numFmtId="169" formatCode="[$$]#,##0.00"/>
    <numFmt numFmtId="170" formatCode="d/MM/yyyy"/>
    <numFmt numFmtId="171" formatCode="d/m"/>
    <numFmt numFmtId="172" formatCode="d/m/yyyy"/>
  </numFmts>
  <fonts count="12">
    <font>
      <sz val="10.0"/>
      <color rgb="FF000000"/>
      <name val="Arial"/>
      <scheme val="minor"/>
    </font>
    <font>
      <b/>
      <sz val="20.0"/>
      <color rgb="FFFFFFFF"/>
      <name val="Arial"/>
    </font>
    <font/>
    <font>
      <color theme="1"/>
      <name val="Arial"/>
    </font>
    <font>
      <b/>
      <sz val="11.0"/>
      <color rgb="FFFFFFFF"/>
      <name val="Calibri"/>
    </font>
    <font>
      <b/>
      <sz val="11.0"/>
      <color rgb="FFFFFFFF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rgb="FFFFFFFF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32258"/>
        <bgColor rgb="FF03225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2" fontId="3" numFmtId="0" xfId="0" applyAlignment="1" applyBorder="1" applyFont="1">
      <alignment vertical="bottom"/>
    </xf>
    <xf borderId="3" fillId="2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3" fillId="0" fontId="2" numFmtId="0" xfId="0" applyBorder="1" applyFont="1"/>
    <xf borderId="1" fillId="2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2" fillId="2" fontId="4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readingOrder="0" vertical="bottom"/>
    </xf>
    <xf borderId="4" fillId="4" fontId="3" numFmtId="0" xfId="0" applyAlignment="1" applyBorder="1" applyFill="1" applyFont="1">
      <alignment vertical="bottom"/>
    </xf>
    <xf borderId="1" fillId="4" fontId="3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vertical="bottom"/>
    </xf>
    <xf borderId="1" fillId="4" fontId="3" numFmtId="0" xfId="0" applyAlignment="1" applyBorder="1" applyFont="1">
      <alignment vertical="bottom"/>
    </xf>
    <xf borderId="3" fillId="4" fontId="3" numFmtId="0" xfId="0" applyAlignment="1" applyBorder="1" applyFont="1">
      <alignment vertical="bottom"/>
    </xf>
    <xf borderId="3" fillId="4" fontId="7" numFmtId="164" xfId="0" applyAlignment="1" applyBorder="1" applyFont="1" applyNumberFormat="1">
      <alignment horizontal="right" vertical="bottom"/>
    </xf>
    <xf borderId="3" fillId="4" fontId="3" numFmtId="165" xfId="0" applyAlignment="1" applyBorder="1" applyFont="1" applyNumberFormat="1">
      <alignment vertical="bottom"/>
    </xf>
    <xf borderId="3" fillId="4" fontId="7" numFmtId="165" xfId="0" applyAlignment="1" applyBorder="1" applyFont="1" applyNumberFormat="1">
      <alignment horizontal="right" vertical="bottom"/>
    </xf>
    <xf borderId="3" fillId="3" fontId="3" numFmtId="0" xfId="0" applyAlignment="1" applyBorder="1" applyFont="1">
      <alignment readingOrder="0" vertical="bottom"/>
    </xf>
    <xf borderId="3" fillId="3" fontId="3" numFmtId="166" xfId="0" applyAlignment="1" applyBorder="1" applyFont="1" applyNumberFormat="1">
      <alignment readingOrder="0" vertical="bottom"/>
    </xf>
    <xf borderId="0" fillId="0" fontId="3" numFmtId="167" xfId="0" applyAlignment="1" applyFont="1" applyNumberFormat="1">
      <alignment vertical="bottom"/>
    </xf>
    <xf borderId="3" fillId="0" fontId="3" numFmtId="167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vertical="bottom"/>
    </xf>
    <xf borderId="3" fillId="5" fontId="3" numFmtId="164" xfId="0" applyAlignment="1" applyBorder="1" applyFill="1" applyFont="1" applyNumberFormat="1">
      <alignment vertical="bottom"/>
    </xf>
    <xf borderId="3" fillId="0" fontId="3" numFmtId="165" xfId="0" applyAlignment="1" applyBorder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vertical="bottom"/>
    </xf>
    <xf borderId="3" fillId="5" fontId="7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3" fillId="0" fontId="3" numFmtId="167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3" fillId="5" fontId="8" numFmtId="164" xfId="0" applyAlignment="1" applyBorder="1" applyFont="1" applyNumberFormat="1">
      <alignment horizontal="right" vertical="bottom"/>
    </xf>
    <xf borderId="3" fillId="0" fontId="3" numFmtId="165" xfId="0" applyAlignment="1" applyBorder="1" applyFont="1" applyNumberFormat="1">
      <alignment horizontal="center" readingOrder="0" vertical="bottom"/>
    </xf>
    <xf borderId="3" fillId="5" fontId="8" numFmtId="165" xfId="0" applyAlignment="1" applyBorder="1" applyFont="1" applyNumberFormat="1">
      <alignment horizontal="right" vertical="bottom"/>
    </xf>
    <xf borderId="3" fillId="3" fontId="3" numFmtId="165" xfId="0" applyAlignment="1" applyBorder="1" applyFont="1" applyNumberFormat="1">
      <alignment readingOrder="0" vertical="bottom"/>
    </xf>
    <xf borderId="3" fillId="0" fontId="3" numFmtId="165" xfId="0" applyAlignment="1" applyBorder="1" applyFont="1" applyNumberFormat="1">
      <alignment horizontal="right" vertical="bottom"/>
    </xf>
    <xf borderId="3" fillId="0" fontId="3" numFmtId="168" xfId="0" applyAlignment="1" applyBorder="1" applyFont="1" applyNumberFormat="1">
      <alignment horizontal="center" vertical="bottom"/>
    </xf>
    <xf borderId="3" fillId="6" fontId="3" numFmtId="0" xfId="0" applyAlignment="1" applyBorder="1" applyFill="1" applyFont="1">
      <alignment horizontal="center" vertical="bottom"/>
    </xf>
    <xf borderId="3" fillId="0" fontId="3" numFmtId="165" xfId="0" applyAlignment="1" applyBorder="1" applyFont="1" applyNumberFormat="1">
      <alignment horizontal="center" vertical="bottom"/>
    </xf>
    <xf borderId="3" fillId="7" fontId="3" numFmtId="168" xfId="0" applyAlignment="1" applyBorder="1" applyFill="1" applyFont="1" applyNumberFormat="1">
      <alignment horizontal="center" vertical="bottom"/>
    </xf>
    <xf borderId="3" fillId="7" fontId="3" numFmtId="0" xfId="0" applyAlignment="1" applyBorder="1" applyFont="1">
      <alignment horizontal="center" readingOrder="0" vertical="bottom"/>
    </xf>
    <xf borderId="3" fillId="7" fontId="3" numFmtId="164" xfId="0" applyAlignment="1" applyBorder="1" applyFont="1" applyNumberFormat="1">
      <alignment vertical="bottom"/>
    </xf>
    <xf borderId="3" fillId="7" fontId="3" numFmtId="169" xfId="0" applyAlignment="1" applyBorder="1" applyFont="1" applyNumberFormat="1">
      <alignment vertical="bottom"/>
    </xf>
    <xf borderId="3" fillId="7" fontId="3" numFmtId="0" xfId="0" applyAlignment="1" applyBorder="1" applyFont="1">
      <alignment horizontal="center" vertical="bottom"/>
    </xf>
    <xf borderId="2" fillId="0" fontId="3" numFmtId="170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horizontal="center" readingOrder="0" vertical="bottom"/>
    </xf>
    <xf borderId="2" fillId="0" fontId="3" numFmtId="170" xfId="0" applyAlignment="1" applyBorder="1" applyFont="1" applyNumberFormat="1">
      <alignment horizontal="center" readingOrder="0" vertical="bottom"/>
    </xf>
    <xf borderId="3" fillId="0" fontId="3" numFmtId="165" xfId="0" applyAlignment="1" applyBorder="1" applyFont="1" applyNumberFormat="1">
      <alignment readingOrder="0" vertical="bottom"/>
    </xf>
    <xf borderId="2" fillId="7" fontId="3" numFmtId="170" xfId="0" applyAlignment="1" applyBorder="1" applyFont="1" applyNumberFormat="1">
      <alignment readingOrder="0" vertical="bottom"/>
    </xf>
    <xf borderId="3" fillId="7" fontId="3" numFmtId="164" xfId="0" applyAlignment="1" applyBorder="1" applyFont="1" applyNumberFormat="1">
      <alignment readingOrder="0" vertical="bottom"/>
    </xf>
    <xf borderId="3" fillId="7" fontId="3" numFmtId="165" xfId="0" applyAlignment="1" applyBorder="1" applyFont="1" applyNumberFormat="1">
      <alignment vertical="bottom"/>
    </xf>
    <xf borderId="3" fillId="7" fontId="3" numFmtId="165" xfId="0" applyAlignment="1" applyBorder="1" applyFont="1" applyNumberFormat="1">
      <alignment readingOrder="0" vertical="bottom"/>
    </xf>
    <xf borderId="2" fillId="0" fontId="3" numFmtId="170" xfId="0" applyAlignment="1" applyBorder="1" applyFont="1" applyNumberFormat="1">
      <alignment readingOrder="0" vertical="bottom"/>
    </xf>
    <xf borderId="3" fillId="0" fontId="3" numFmtId="164" xfId="0" applyAlignment="1" applyBorder="1" applyFont="1" applyNumberFormat="1">
      <alignment readingOrder="0" vertical="bottom"/>
    </xf>
    <xf borderId="2" fillId="0" fontId="3" numFmtId="171" xfId="0" applyAlignment="1" applyBorder="1" applyFont="1" applyNumberFormat="1">
      <alignment readingOrder="0" vertical="bottom"/>
    </xf>
    <xf borderId="3" fillId="8" fontId="8" numFmtId="164" xfId="0" applyAlignment="1" applyBorder="1" applyFill="1" applyFont="1" applyNumberFormat="1">
      <alignment horizontal="right" vertical="bottom"/>
    </xf>
    <xf borderId="3" fillId="8" fontId="8" numFmtId="165" xfId="0" applyAlignment="1" applyBorder="1" applyFont="1" applyNumberFormat="1">
      <alignment horizontal="right" vertical="bottom"/>
    </xf>
    <xf borderId="0" fillId="7" fontId="3" numFmtId="0" xfId="0" applyAlignment="1" applyFont="1">
      <alignment vertical="bottom"/>
    </xf>
    <xf borderId="2" fillId="0" fontId="3" numFmtId="168" xfId="0" applyAlignment="1" applyBorder="1" applyFont="1" applyNumberFormat="1">
      <alignment vertical="bottom"/>
    </xf>
    <xf borderId="2" fillId="7" fontId="3" numFmtId="168" xfId="0" applyAlignment="1" applyBorder="1" applyFont="1" applyNumberFormat="1">
      <alignment vertical="bottom"/>
    </xf>
    <xf borderId="3" fillId="0" fontId="3" numFmtId="3" xfId="0" applyAlignment="1" applyBorder="1" applyFont="1" applyNumberFormat="1">
      <alignment horizontal="center" vertical="bottom"/>
    </xf>
    <xf borderId="2" fillId="0" fontId="3" numFmtId="167" xfId="0" applyAlignment="1" applyBorder="1" applyFont="1" applyNumberFormat="1">
      <alignment vertical="bottom"/>
    </xf>
    <xf borderId="4" fillId="4" fontId="9" numFmtId="0" xfId="0" applyAlignment="1" applyBorder="1" applyFont="1">
      <alignment horizontal="center" vertical="bottom"/>
    </xf>
    <xf borderId="3" fillId="4" fontId="8" numFmtId="164" xfId="0" applyAlignment="1" applyBorder="1" applyFont="1" applyNumberFormat="1">
      <alignment horizontal="right" vertical="bottom"/>
    </xf>
    <xf borderId="3" fillId="4" fontId="8" numFmtId="165" xfId="0" applyAlignment="1" applyBorder="1" applyFont="1" applyNumberFormat="1">
      <alignment horizontal="right" vertical="bottom"/>
    </xf>
    <xf borderId="3" fillId="5" fontId="3" numFmtId="165" xfId="0" applyAlignment="1" applyBorder="1" applyFont="1" applyNumberFormat="1">
      <alignment vertical="bottom"/>
    </xf>
    <xf borderId="0" fillId="0" fontId="3" numFmtId="0" xfId="0" applyAlignment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4" fillId="4" fontId="3" numFmtId="0" xfId="0" applyAlignment="1" applyBorder="1" applyFont="1">
      <alignment horizontal="center" vertical="bottom"/>
    </xf>
    <xf borderId="3" fillId="4" fontId="3" numFmtId="164" xfId="0" applyAlignment="1" applyBorder="1" applyFont="1" applyNumberFormat="1">
      <alignment vertical="bottom"/>
    </xf>
    <xf borderId="3" fillId="4" fontId="3" numFmtId="165" xfId="0" applyAlignment="1" applyBorder="1" applyFont="1" applyNumberFormat="1">
      <alignment vertical="bottom"/>
    </xf>
    <xf borderId="3" fillId="3" fontId="3" numFmtId="0" xfId="0" applyAlignment="1" applyBorder="1" applyFont="1">
      <alignment vertical="bottom"/>
    </xf>
    <xf borderId="3" fillId="3" fontId="3" numFmtId="166" xfId="0" applyAlignment="1" applyBorder="1" applyFont="1" applyNumberFormat="1">
      <alignment vertical="bottom"/>
    </xf>
    <xf borderId="0" fillId="0" fontId="3" numFmtId="167" xfId="0" applyAlignment="1" applyFont="1" applyNumberFormat="1">
      <alignment horizontal="right" vertical="bottom"/>
    </xf>
    <xf borderId="3" fillId="5" fontId="7" numFmtId="165" xfId="0" applyAlignment="1" applyBorder="1" applyFont="1" applyNumberFormat="1">
      <alignment horizontal="right" readingOrder="0" vertical="bottom"/>
    </xf>
    <xf borderId="3" fillId="3" fontId="10" numFmtId="0" xfId="0" applyAlignment="1" applyBorder="1" applyFont="1">
      <alignment vertical="bottom"/>
    </xf>
    <xf borderId="3" fillId="3" fontId="10" numFmtId="166" xfId="0" applyAlignment="1" applyBorder="1" applyFont="1" applyNumberFormat="1">
      <alignment horizontal="right" vertical="bottom"/>
    </xf>
    <xf borderId="3" fillId="0" fontId="3" numFmtId="168" xfId="0" applyAlignment="1" applyBorder="1" applyFont="1" applyNumberFormat="1">
      <alignment horizontal="center" readingOrder="0" vertical="bottom"/>
    </xf>
    <xf borderId="3" fillId="3" fontId="3" numFmtId="165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164" xfId="0" applyAlignment="1" applyBorder="1" applyFont="1" applyNumberFormat="1">
      <alignment horizontal="center" vertical="bottom"/>
    </xf>
    <xf borderId="3" fillId="7" fontId="3" numFmtId="168" xfId="0" applyAlignment="1" applyBorder="1" applyFont="1" applyNumberFormat="1">
      <alignment horizontal="center" readingOrder="0" vertical="bottom"/>
    </xf>
    <xf borderId="3" fillId="7" fontId="3" numFmtId="169" xfId="0" applyAlignment="1" applyBorder="1" applyFont="1" applyNumberFormat="1">
      <alignment horizontal="center" vertical="bottom"/>
    </xf>
    <xf borderId="3" fillId="0" fontId="3" numFmtId="164" xfId="0" applyAlignment="1" applyBorder="1" applyFont="1" applyNumberFormat="1">
      <alignment horizontal="center" readingOrder="0" vertical="bottom"/>
    </xf>
    <xf borderId="3" fillId="0" fontId="3" numFmtId="164" xfId="0" applyAlignment="1" applyBorder="1" applyFont="1" applyNumberFormat="1">
      <alignment horizontal="right" readingOrder="0" vertical="bottom"/>
    </xf>
    <xf borderId="3" fillId="7" fontId="3" numFmtId="164" xfId="0" applyAlignment="1" applyBorder="1" applyFont="1" applyNumberFormat="1">
      <alignment horizontal="right" vertical="bottom"/>
    </xf>
    <xf borderId="2" fillId="0" fontId="3" numFmtId="171" xfId="0" applyAlignment="1" applyBorder="1" applyFont="1" applyNumberFormat="1">
      <alignment horizontal="center" readingOrder="0" vertical="bottom"/>
    </xf>
    <xf borderId="2" fillId="7" fontId="3" numFmtId="170" xfId="0" applyAlignment="1" applyBorder="1" applyFont="1" applyNumberFormat="1">
      <alignment horizontal="center" readingOrder="0" vertical="bottom"/>
    </xf>
    <xf borderId="3" fillId="9" fontId="8" numFmtId="164" xfId="0" applyAlignment="1" applyBorder="1" applyFill="1" applyFont="1" applyNumberFormat="1">
      <alignment horizontal="right" vertical="bottom"/>
    </xf>
    <xf borderId="3" fillId="9" fontId="8" numFmtId="165" xfId="0" applyAlignment="1" applyBorder="1" applyFont="1" applyNumberFormat="1">
      <alignment horizontal="right" vertical="bottom"/>
    </xf>
    <xf borderId="0" fillId="8" fontId="3" numFmtId="0" xfId="0" applyAlignment="1" applyFont="1">
      <alignment vertical="bottom"/>
    </xf>
    <xf borderId="2" fillId="0" fontId="3" numFmtId="168" xfId="0" applyAlignment="1" applyBorder="1" applyFont="1" applyNumberFormat="1">
      <alignment horizontal="center" readingOrder="0" vertical="bottom"/>
    </xf>
    <xf borderId="2" fillId="7" fontId="3" numFmtId="168" xfId="0" applyAlignment="1" applyBorder="1" applyFont="1" applyNumberFormat="1">
      <alignment horizontal="center" readingOrder="0" vertical="bottom"/>
    </xf>
    <xf borderId="3" fillId="7" fontId="3" numFmtId="165" xfId="0" applyAlignment="1" applyBorder="1" applyFont="1" applyNumberFormat="1">
      <alignment horizontal="right" readingOrder="0" vertical="bottom"/>
    </xf>
    <xf borderId="3" fillId="10" fontId="8" numFmtId="165" xfId="0" applyAlignment="1" applyBorder="1" applyFill="1" applyFont="1" applyNumberFormat="1">
      <alignment horizontal="right" vertical="bottom"/>
    </xf>
    <xf borderId="3" fillId="6" fontId="3" numFmtId="3" xfId="0" applyAlignment="1" applyBorder="1" applyFont="1" applyNumberFormat="1">
      <alignment horizontal="center" readingOrder="0" vertical="bottom"/>
    </xf>
    <xf borderId="2" fillId="0" fontId="3" numFmtId="168" xfId="0" applyAlignment="1" applyBorder="1" applyFont="1" applyNumberFormat="1">
      <alignment horizontal="center" vertical="bottom"/>
    </xf>
    <xf borderId="3" fillId="7" fontId="6" numFmtId="0" xfId="0" applyAlignment="1" applyBorder="1" applyFont="1">
      <alignment horizontal="center" readingOrder="0" vertical="bottom"/>
    </xf>
    <xf borderId="3" fillId="7" fontId="3" numFmtId="164" xfId="0" applyAlignment="1" applyBorder="1" applyFont="1" applyNumberFormat="1">
      <alignment horizontal="right" readingOrder="0" vertical="bottom"/>
    </xf>
    <xf borderId="3" fillId="7" fontId="3" numFmtId="3" xfId="0" applyAlignment="1" applyBorder="1" applyFont="1" applyNumberFormat="1">
      <alignment horizontal="center" readingOrder="0" vertical="bottom"/>
    </xf>
    <xf borderId="3" fillId="11" fontId="3" numFmtId="165" xfId="0" applyAlignment="1" applyBorder="1" applyFill="1" applyFont="1" applyNumberFormat="1">
      <alignment readingOrder="0" vertical="bottom"/>
    </xf>
    <xf borderId="2" fillId="0" fontId="3" numFmtId="0" xfId="0" applyAlignment="1" applyBorder="1" applyFont="1">
      <alignment horizontal="center" readingOrder="0" vertical="bottom"/>
    </xf>
    <xf borderId="0" fillId="7" fontId="3" numFmtId="0" xfId="0" applyAlignment="1" applyFont="1">
      <alignment horizontal="center" vertical="bottom"/>
    </xf>
    <xf borderId="3" fillId="7" fontId="3" numFmtId="169" xfId="0" applyAlignment="1" applyBorder="1" applyFont="1" applyNumberFormat="1">
      <alignment horizontal="center" readingOrder="0" vertical="bottom"/>
    </xf>
    <xf borderId="3" fillId="6" fontId="3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readingOrder="0"/>
    </xf>
    <xf borderId="3" fillId="7" fontId="3" numFmtId="167" xfId="0" applyAlignment="1" applyBorder="1" applyFont="1" applyNumberFormat="1">
      <alignment horizontal="center" readingOrder="0" vertical="bottom"/>
    </xf>
    <xf borderId="3" fillId="7" fontId="3" numFmtId="164" xfId="0" applyAlignment="1" applyBorder="1" applyFont="1" applyNumberFormat="1">
      <alignment horizontal="center" readingOrder="0" vertical="bottom"/>
    </xf>
    <xf borderId="3" fillId="11" fontId="3" numFmtId="165" xfId="0" applyAlignment="1" applyBorder="1" applyFont="1" applyNumberFormat="1">
      <alignment horizontal="right" readingOrder="0" vertical="bottom"/>
    </xf>
    <xf borderId="3" fillId="7" fontId="3" numFmtId="164" xfId="0" applyAlignment="1" applyBorder="1" applyFont="1" applyNumberFormat="1">
      <alignment horizontal="center" vertical="bottom"/>
    </xf>
    <xf borderId="3" fillId="4" fontId="3" numFmtId="0" xfId="0" applyAlignment="1" applyBorder="1" applyFont="1">
      <alignment horizontal="center" readingOrder="0" vertical="bottom"/>
    </xf>
    <xf borderId="3" fillId="4" fontId="3" numFmtId="0" xfId="0" applyAlignment="1" applyBorder="1" applyFont="1">
      <alignment horizontal="center" vertical="bottom"/>
    </xf>
    <xf borderId="2" fillId="7" fontId="6" numFmtId="170" xfId="0" applyAlignment="1" applyBorder="1" applyFont="1" applyNumberFormat="1">
      <alignment horizontal="center" readingOrder="0" vertical="bottom"/>
    </xf>
    <xf borderId="3" fillId="7" fontId="6" numFmtId="164" xfId="0" applyAlignment="1" applyBorder="1" applyFont="1" applyNumberFormat="1">
      <alignment readingOrder="0" vertical="bottom"/>
    </xf>
    <xf borderId="3" fillId="7" fontId="6" numFmtId="164" xfId="0" applyAlignment="1" applyBorder="1" applyFont="1" applyNumberFormat="1">
      <alignment horizontal="center" readingOrder="0" vertical="bottom"/>
    </xf>
    <xf borderId="3" fillId="0" fontId="6" numFmtId="165" xfId="0" applyAlignment="1" applyBorder="1" applyFont="1" applyNumberFormat="1">
      <alignment readingOrder="0" vertical="bottom"/>
    </xf>
    <xf borderId="0" fillId="0" fontId="6" numFmtId="0" xfId="0" applyAlignment="1" applyFont="1">
      <alignment vertical="bottom"/>
    </xf>
    <xf borderId="3" fillId="6" fontId="6" numFmtId="0" xfId="0" applyAlignment="1" applyBorder="1" applyFont="1">
      <alignment horizontal="center" readingOrder="0" vertical="bottom"/>
    </xf>
    <xf borderId="3" fillId="7" fontId="6" numFmtId="167" xfId="0" applyAlignment="1" applyBorder="1" applyFont="1" applyNumberFormat="1">
      <alignment horizontal="center" readingOrder="0" vertical="bottom"/>
    </xf>
    <xf borderId="3" fillId="0" fontId="6" numFmtId="165" xfId="0" applyAlignment="1" applyBorder="1" applyFont="1" applyNumberFormat="1">
      <alignment horizontal="right" readingOrder="0" vertical="bottom"/>
    </xf>
    <xf borderId="3" fillId="3" fontId="6" numFmtId="0" xfId="0" applyAlignment="1" applyBorder="1" applyFont="1">
      <alignment vertical="bottom"/>
    </xf>
    <xf borderId="3" fillId="3" fontId="6" numFmtId="165" xfId="0" applyAlignment="1" applyBorder="1" applyFont="1" applyNumberFormat="1">
      <alignment vertical="bottom"/>
    </xf>
    <xf borderId="2" fillId="7" fontId="3" numFmtId="0" xfId="0" applyAlignment="1" applyBorder="1" applyFont="1">
      <alignment horizontal="center" readingOrder="0" vertical="bottom"/>
    </xf>
    <xf borderId="5" fillId="0" fontId="11" numFmtId="0" xfId="0" applyAlignment="1" applyBorder="1" applyFont="1">
      <alignment horizontal="center" readingOrder="0"/>
    </xf>
    <xf borderId="3" fillId="7" fontId="6" numFmtId="169" xfId="0" applyAlignment="1" applyBorder="1" applyFont="1" applyNumberFormat="1">
      <alignment horizontal="center" readingOrder="0" vertical="bottom"/>
    </xf>
    <xf borderId="3" fillId="7" fontId="6" numFmtId="165" xfId="0" applyAlignment="1" applyBorder="1" applyFont="1" applyNumberFormat="1">
      <alignment readingOrder="0" vertical="bottom"/>
    </xf>
    <xf borderId="3" fillId="0" fontId="6" numFmtId="164" xfId="0" applyAlignment="1" applyBorder="1" applyFont="1" applyNumberFormat="1">
      <alignment horizontal="center" readingOrder="0" vertical="bottom"/>
    </xf>
    <xf borderId="2" fillId="0" fontId="6" numFmtId="168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3" fillId="0" fontId="6" numFmtId="164" xfId="0" applyAlignment="1" applyBorder="1" applyFont="1" applyNumberFormat="1">
      <alignment vertical="bottom"/>
    </xf>
    <xf borderId="3" fillId="12" fontId="3" numFmtId="164" xfId="0" applyAlignment="1" applyBorder="1" applyFill="1" applyFont="1" applyNumberFormat="1">
      <alignment horizontal="center" readingOrder="0" vertical="bottom"/>
    </xf>
    <xf borderId="3" fillId="12" fontId="3" numFmtId="165" xfId="0" applyAlignment="1" applyBorder="1" applyFont="1" applyNumberFormat="1">
      <alignment readingOrder="0" vertical="bottom"/>
    </xf>
    <xf borderId="3" fillId="13" fontId="3" numFmtId="164" xfId="0" applyAlignment="1" applyBorder="1" applyFill="1" applyFont="1" applyNumberFormat="1">
      <alignment horizontal="center" readingOrder="0" vertical="bottom"/>
    </xf>
    <xf borderId="5" fillId="6" fontId="11" numFmtId="0" xfId="0" applyAlignment="1" applyBorder="1" applyFont="1">
      <alignment horizontal="center" readingOrder="0"/>
    </xf>
    <xf borderId="2" fillId="7" fontId="3" numFmtId="172" xfId="0" applyAlignment="1" applyBorder="1" applyFont="1" applyNumberFormat="1">
      <alignment horizontal="center" readingOrder="0" vertical="bottom"/>
    </xf>
    <xf borderId="5" fillId="7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38.75"/>
    <col customWidth="1" min="4" max="4" width="13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12" t="s">
        <v>8</v>
      </c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3"/>
      <c r="B4" s="14"/>
      <c r="C4" s="15" t="s">
        <v>9</v>
      </c>
      <c r="D4" s="16"/>
      <c r="E4" s="17"/>
      <c r="F4" s="18">
        <v>0.0</v>
      </c>
      <c r="G4" s="19"/>
      <c r="H4" s="19"/>
      <c r="I4" s="20">
        <v>0.0</v>
      </c>
      <c r="J4" s="21" t="s">
        <v>10</v>
      </c>
      <c r="K4" s="22">
        <v>2300.0</v>
      </c>
      <c r="L4" s="2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4">
        <v>45702.0</v>
      </c>
      <c r="B5" s="25" t="s">
        <v>11</v>
      </c>
      <c r="C5" s="25" t="s">
        <v>12</v>
      </c>
      <c r="D5" s="26"/>
      <c r="E5" s="26"/>
      <c r="F5" s="27"/>
      <c r="G5" s="28">
        <v>400.0</v>
      </c>
      <c r="H5" s="29"/>
      <c r="I5" s="30">
        <v>700.0</v>
      </c>
      <c r="J5" s="21" t="s">
        <v>13</v>
      </c>
      <c r="K5" s="22">
        <v>2392.0</v>
      </c>
      <c r="L5" s="31" t="s">
        <v>14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2">
        <v>45702.0</v>
      </c>
      <c r="B6" s="33" t="s">
        <v>15</v>
      </c>
      <c r="C6" s="33" t="s">
        <v>16</v>
      </c>
      <c r="D6" s="26"/>
      <c r="E6" s="26"/>
      <c r="F6" s="34"/>
      <c r="G6" s="29"/>
      <c r="H6" s="35">
        <v>300.0</v>
      </c>
      <c r="I6" s="36">
        <f t="shared" ref="I6:I59" si="1">I5+G6-H6</f>
        <v>400</v>
      </c>
      <c r="J6" s="21" t="s">
        <v>17</v>
      </c>
      <c r="K6" s="37">
        <v>4692.0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4">
        <v>45709.0</v>
      </c>
      <c r="B7" s="25" t="s">
        <v>11</v>
      </c>
      <c r="C7" s="25" t="s">
        <v>18</v>
      </c>
      <c r="D7" s="26"/>
      <c r="E7" s="26"/>
      <c r="F7" s="34">
        <f t="shared" ref="F7:F10" si="2">F6+D7-E7</f>
        <v>0</v>
      </c>
      <c r="G7" s="38">
        <v>5000.0</v>
      </c>
      <c r="H7" s="29"/>
      <c r="I7" s="36">
        <f t="shared" si="1"/>
        <v>5400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4">
        <v>45709.0</v>
      </c>
      <c r="B8" s="25" t="s">
        <v>11</v>
      </c>
      <c r="C8" s="25" t="s">
        <v>19</v>
      </c>
      <c r="D8" s="26"/>
      <c r="E8" s="26"/>
      <c r="F8" s="34">
        <f t="shared" si="2"/>
        <v>0</v>
      </c>
      <c r="G8" s="38">
        <v>2417.0</v>
      </c>
      <c r="H8" s="29"/>
      <c r="I8" s="36">
        <f t="shared" si="1"/>
        <v>7817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9">
        <v>45709.0</v>
      </c>
      <c r="B9" s="25" t="s">
        <v>11</v>
      </c>
      <c r="C9" s="25" t="s">
        <v>20</v>
      </c>
      <c r="D9" s="26"/>
      <c r="E9" s="26"/>
      <c r="F9" s="34">
        <f t="shared" si="2"/>
        <v>0</v>
      </c>
      <c r="G9" s="38">
        <v>2000.0</v>
      </c>
      <c r="H9" s="29"/>
      <c r="I9" s="36">
        <f t="shared" si="1"/>
        <v>9817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9">
        <v>45713.0</v>
      </c>
      <c r="B10" s="25" t="s">
        <v>21</v>
      </c>
      <c r="C10" s="40" t="s">
        <v>22</v>
      </c>
      <c r="D10" s="26"/>
      <c r="E10" s="26"/>
      <c r="F10" s="34">
        <f t="shared" si="2"/>
        <v>0</v>
      </c>
      <c r="G10" s="29"/>
      <c r="H10" s="41">
        <v>200.0</v>
      </c>
      <c r="I10" s="36">
        <f t="shared" si="1"/>
        <v>9617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9"/>
      <c r="B11" s="25"/>
      <c r="C11" s="25"/>
      <c r="D11" s="26"/>
      <c r="E11" s="26"/>
      <c r="F11" s="34"/>
      <c r="G11" s="29"/>
      <c r="H11" s="28"/>
      <c r="I11" s="36">
        <f t="shared" si="1"/>
        <v>9617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2">
        <v>45716.0</v>
      </c>
      <c r="B12" s="43" t="s">
        <v>15</v>
      </c>
      <c r="C12" s="43" t="s">
        <v>16</v>
      </c>
      <c r="D12" s="44"/>
      <c r="E12" s="45"/>
      <c r="F12" s="34">
        <f t="shared" ref="F12:F59" si="3">F11+D12-E12</f>
        <v>0</v>
      </c>
      <c r="G12" s="29"/>
      <c r="H12" s="38">
        <v>300.0</v>
      </c>
      <c r="I12" s="36">
        <f t="shared" si="1"/>
        <v>9317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9">
        <v>45716.0</v>
      </c>
      <c r="B13" s="33" t="s">
        <v>23</v>
      </c>
      <c r="C13" s="33" t="s">
        <v>16</v>
      </c>
      <c r="D13" s="26"/>
      <c r="E13" s="26"/>
      <c r="F13" s="34">
        <f t="shared" si="3"/>
        <v>0</v>
      </c>
      <c r="G13" s="29"/>
      <c r="H13" s="38">
        <v>200.0</v>
      </c>
      <c r="I13" s="36">
        <f t="shared" si="1"/>
        <v>9117</v>
      </c>
      <c r="J13" s="3"/>
      <c r="K13" s="3"/>
      <c r="L13" s="31">
        <v>2000.0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4">
        <v>45716.0</v>
      </c>
      <c r="B14" s="25" t="s">
        <v>24</v>
      </c>
      <c r="C14" s="46" t="s">
        <v>25</v>
      </c>
      <c r="D14" s="26"/>
      <c r="E14" s="26"/>
      <c r="F14" s="34">
        <f t="shared" si="3"/>
        <v>0</v>
      </c>
      <c r="G14" s="29"/>
      <c r="H14" s="38">
        <v>7000.0</v>
      </c>
      <c r="I14" s="36">
        <f t="shared" si="1"/>
        <v>2117</v>
      </c>
      <c r="J14" s="3"/>
      <c r="K14" s="3"/>
      <c r="L14" s="31">
        <v>2417.0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9">
        <v>45721.0</v>
      </c>
      <c r="B15" s="25" t="s">
        <v>11</v>
      </c>
      <c r="C15" s="25" t="s">
        <v>26</v>
      </c>
      <c r="D15" s="26"/>
      <c r="E15" s="26"/>
      <c r="F15" s="34">
        <f t="shared" si="3"/>
        <v>0</v>
      </c>
      <c r="G15" s="38">
        <v>500.0</v>
      </c>
      <c r="H15" s="29"/>
      <c r="I15" s="36">
        <f t="shared" si="1"/>
        <v>2617</v>
      </c>
      <c r="J15" s="3"/>
      <c r="K15" s="3"/>
      <c r="L15" s="31">
        <v>2500.0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9">
        <v>45721.0</v>
      </c>
      <c r="B16" s="25" t="s">
        <v>15</v>
      </c>
      <c r="C16" s="25" t="s">
        <v>16</v>
      </c>
      <c r="D16" s="26"/>
      <c r="E16" s="26"/>
      <c r="F16" s="34">
        <f t="shared" si="3"/>
        <v>0</v>
      </c>
      <c r="G16" s="29"/>
      <c r="H16" s="38">
        <v>1000.0</v>
      </c>
      <c r="I16" s="36">
        <f t="shared" si="1"/>
        <v>1617</v>
      </c>
      <c r="J16" s="3"/>
      <c r="K16" s="3"/>
      <c r="L16" s="31">
        <v>5000.0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7">
        <v>45722.0</v>
      </c>
      <c r="B17" s="25" t="s">
        <v>15</v>
      </c>
      <c r="C17" s="25" t="s">
        <v>16</v>
      </c>
      <c r="D17" s="26"/>
      <c r="E17" s="26"/>
      <c r="F17" s="34">
        <f t="shared" si="3"/>
        <v>0</v>
      </c>
      <c r="G17" s="29"/>
      <c r="H17" s="38">
        <v>500.0</v>
      </c>
      <c r="I17" s="36">
        <f t="shared" si="1"/>
        <v>1117</v>
      </c>
      <c r="J17" s="3"/>
      <c r="K17" s="3"/>
      <c r="L17" s="31">
        <v>5000.0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7">
        <v>45729.0</v>
      </c>
      <c r="B18" s="25" t="s">
        <v>11</v>
      </c>
      <c r="C18" s="25" t="s">
        <v>27</v>
      </c>
      <c r="D18" s="26"/>
      <c r="E18" s="26"/>
      <c r="F18" s="34">
        <f t="shared" si="3"/>
        <v>0</v>
      </c>
      <c r="G18" s="38">
        <v>7500.0</v>
      </c>
      <c r="H18" s="29"/>
      <c r="I18" s="36">
        <f t="shared" si="1"/>
        <v>8617</v>
      </c>
      <c r="J18" s="3"/>
      <c r="K18" s="3"/>
      <c r="L18" s="31">
        <v>7500.0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7">
        <v>45729.0</v>
      </c>
      <c r="B19" s="25" t="s">
        <v>21</v>
      </c>
      <c r="C19" s="48" t="s">
        <v>28</v>
      </c>
      <c r="D19" s="26"/>
      <c r="E19" s="26"/>
      <c r="F19" s="34">
        <f t="shared" si="3"/>
        <v>0</v>
      </c>
      <c r="G19" s="29"/>
      <c r="H19" s="38">
        <v>7500.0</v>
      </c>
      <c r="I19" s="36">
        <f t="shared" si="1"/>
        <v>1117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9">
        <v>45733.0</v>
      </c>
      <c r="B20" s="33" t="s">
        <v>11</v>
      </c>
      <c r="C20" s="33" t="s">
        <v>29</v>
      </c>
      <c r="D20" s="26"/>
      <c r="E20" s="26"/>
      <c r="F20" s="34">
        <f t="shared" si="3"/>
        <v>0</v>
      </c>
      <c r="G20" s="50">
        <v>5000.0</v>
      </c>
      <c r="H20" s="50"/>
      <c r="I20" s="36">
        <f t="shared" si="1"/>
        <v>6117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51">
        <v>45734.0</v>
      </c>
      <c r="B21" s="43" t="s">
        <v>30</v>
      </c>
      <c r="C21" s="43" t="s">
        <v>31</v>
      </c>
      <c r="D21" s="52">
        <v>1260000.0</v>
      </c>
      <c r="E21" s="44"/>
      <c r="F21" s="34">
        <f t="shared" si="3"/>
        <v>1260000</v>
      </c>
      <c r="G21" s="53"/>
      <c r="H21" s="54">
        <v>1000.0</v>
      </c>
      <c r="I21" s="36">
        <f t="shared" si="1"/>
        <v>5117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55">
        <v>45735.0</v>
      </c>
      <c r="B22" s="43" t="s">
        <v>32</v>
      </c>
      <c r="C22" s="33" t="s">
        <v>33</v>
      </c>
      <c r="D22" s="26"/>
      <c r="E22" s="56">
        <v>15000.0</v>
      </c>
      <c r="F22" s="34">
        <f t="shared" si="3"/>
        <v>1245000</v>
      </c>
      <c r="G22" s="29"/>
      <c r="H22" s="50">
        <v>500.0</v>
      </c>
      <c r="I22" s="36">
        <f t="shared" si="1"/>
        <v>4617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55">
        <v>45735.0</v>
      </c>
      <c r="B23" s="33" t="s">
        <v>32</v>
      </c>
      <c r="C23" s="33" t="s">
        <v>34</v>
      </c>
      <c r="D23" s="26"/>
      <c r="E23" s="56">
        <v>300000.0</v>
      </c>
      <c r="F23" s="34">
        <f t="shared" si="3"/>
        <v>945000</v>
      </c>
      <c r="G23" s="29"/>
      <c r="H23" s="29"/>
      <c r="I23" s="36">
        <f t="shared" si="1"/>
        <v>4617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55">
        <v>45735.0</v>
      </c>
      <c r="B24" s="33" t="s">
        <v>32</v>
      </c>
      <c r="C24" s="33" t="s">
        <v>35</v>
      </c>
      <c r="D24" s="26"/>
      <c r="E24" s="56">
        <v>48000.0</v>
      </c>
      <c r="F24" s="34">
        <f t="shared" si="3"/>
        <v>897000</v>
      </c>
      <c r="G24" s="29"/>
      <c r="H24" s="29"/>
      <c r="I24" s="36">
        <f t="shared" si="1"/>
        <v>4617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55">
        <v>45735.0</v>
      </c>
      <c r="B25" s="33" t="s">
        <v>36</v>
      </c>
      <c r="C25" s="48" t="s">
        <v>37</v>
      </c>
      <c r="D25" s="26"/>
      <c r="E25" s="56">
        <v>234000.0</v>
      </c>
      <c r="F25" s="34">
        <f t="shared" si="3"/>
        <v>663000</v>
      </c>
      <c r="G25" s="29"/>
      <c r="H25" s="29"/>
      <c r="I25" s="36">
        <f t="shared" si="1"/>
        <v>4617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55">
        <v>45735.0</v>
      </c>
      <c r="B26" s="33" t="s">
        <v>36</v>
      </c>
      <c r="C26" s="48" t="s">
        <v>38</v>
      </c>
      <c r="D26" s="26"/>
      <c r="E26" s="56">
        <v>87800.0</v>
      </c>
      <c r="F26" s="34">
        <f t="shared" si="3"/>
        <v>575200</v>
      </c>
      <c r="G26" s="29"/>
      <c r="H26" s="29"/>
      <c r="I26" s="36">
        <f t="shared" si="1"/>
        <v>4617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55">
        <v>45735.0</v>
      </c>
      <c r="B27" s="33" t="s">
        <v>21</v>
      </c>
      <c r="C27" s="33" t="s">
        <v>39</v>
      </c>
      <c r="D27" s="26"/>
      <c r="E27" s="56">
        <v>27000.0</v>
      </c>
      <c r="F27" s="34">
        <f t="shared" si="3"/>
        <v>548200</v>
      </c>
      <c r="G27" s="29"/>
      <c r="H27" s="29"/>
      <c r="I27" s="36">
        <f t="shared" si="1"/>
        <v>4617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55">
        <v>45736.0</v>
      </c>
      <c r="B28" s="33" t="s">
        <v>30</v>
      </c>
      <c r="C28" s="33" t="s">
        <v>40</v>
      </c>
      <c r="D28" s="56">
        <v>1159000.0</v>
      </c>
      <c r="E28" s="26"/>
      <c r="F28" s="34">
        <f t="shared" si="3"/>
        <v>1707200</v>
      </c>
      <c r="G28" s="29"/>
      <c r="H28" s="50">
        <v>950.0</v>
      </c>
      <c r="I28" s="36">
        <f t="shared" si="1"/>
        <v>3667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55">
        <v>45736.0</v>
      </c>
      <c r="B29" s="33" t="s">
        <v>32</v>
      </c>
      <c r="C29" s="33" t="s">
        <v>41</v>
      </c>
      <c r="D29" s="26"/>
      <c r="E29" s="56">
        <v>1650000.0</v>
      </c>
      <c r="F29" s="34">
        <f t="shared" si="3"/>
        <v>57200</v>
      </c>
      <c r="G29" s="29"/>
      <c r="H29" s="29"/>
      <c r="I29" s="36">
        <f t="shared" si="1"/>
        <v>3667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55">
        <v>45741.0</v>
      </c>
      <c r="B30" s="33" t="s">
        <v>36</v>
      </c>
      <c r="C30" s="33" t="s">
        <v>42</v>
      </c>
      <c r="D30" s="26"/>
      <c r="E30" s="56">
        <v>55000.0</v>
      </c>
      <c r="F30" s="34">
        <f t="shared" si="3"/>
        <v>2200</v>
      </c>
      <c r="G30" s="29"/>
      <c r="H30" s="29"/>
      <c r="I30" s="36">
        <f t="shared" si="1"/>
        <v>3667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57">
        <v>45741.0</v>
      </c>
      <c r="B31" s="33" t="s">
        <v>11</v>
      </c>
      <c r="C31" s="33" t="s">
        <v>43</v>
      </c>
      <c r="D31" s="26"/>
      <c r="E31" s="26"/>
      <c r="F31" s="34">
        <f t="shared" si="3"/>
        <v>2200</v>
      </c>
      <c r="G31" s="50">
        <v>1600.0</v>
      </c>
      <c r="H31" s="29"/>
      <c r="I31" s="36">
        <f t="shared" si="1"/>
        <v>5267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55">
        <v>45741.0</v>
      </c>
      <c r="B32" s="33" t="s">
        <v>11</v>
      </c>
      <c r="C32" s="33" t="s">
        <v>44</v>
      </c>
      <c r="D32" s="26"/>
      <c r="E32" s="26"/>
      <c r="F32" s="34">
        <f t="shared" si="3"/>
        <v>2200</v>
      </c>
      <c r="G32" s="50">
        <v>2500.0</v>
      </c>
      <c r="H32" s="29"/>
      <c r="I32" s="36">
        <f t="shared" si="1"/>
        <v>7767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55">
        <v>45742.0</v>
      </c>
      <c r="B33" s="33" t="s">
        <v>32</v>
      </c>
      <c r="C33" s="33" t="s">
        <v>45</v>
      </c>
      <c r="D33" s="26"/>
      <c r="E33" s="26"/>
      <c r="F33" s="34">
        <f t="shared" si="3"/>
        <v>2200</v>
      </c>
      <c r="G33" s="29"/>
      <c r="H33" s="50">
        <v>700.0</v>
      </c>
      <c r="I33" s="36">
        <f t="shared" si="1"/>
        <v>7067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55">
        <v>45743.0</v>
      </c>
      <c r="B34" s="33" t="s">
        <v>15</v>
      </c>
      <c r="C34" s="33" t="s">
        <v>46</v>
      </c>
      <c r="D34" s="26"/>
      <c r="E34" s="26"/>
      <c r="F34" s="34">
        <f t="shared" si="3"/>
        <v>2200</v>
      </c>
      <c r="G34" s="29"/>
      <c r="H34" s="50">
        <v>2400.0</v>
      </c>
      <c r="I34" s="36">
        <f t="shared" si="1"/>
        <v>4667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51">
        <v>45744.0</v>
      </c>
      <c r="B35" s="43" t="s">
        <v>30</v>
      </c>
      <c r="C35" s="43" t="s">
        <v>47</v>
      </c>
      <c r="D35" s="52">
        <v>64000.0</v>
      </c>
      <c r="E35" s="44"/>
      <c r="F35" s="58">
        <f t="shared" si="3"/>
        <v>66200</v>
      </c>
      <c r="G35" s="53"/>
      <c r="H35" s="54">
        <v>50.0</v>
      </c>
      <c r="I35" s="59">
        <f t="shared" si="1"/>
        <v>4617</v>
      </c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</row>
    <row r="36">
      <c r="A36" s="57">
        <v>45747.0</v>
      </c>
      <c r="B36" s="33" t="s">
        <v>36</v>
      </c>
      <c r="C36" s="48" t="s">
        <v>48</v>
      </c>
      <c r="D36" s="26"/>
      <c r="E36" s="56">
        <v>36000.0</v>
      </c>
      <c r="F36" s="34">
        <f t="shared" si="3"/>
        <v>30200</v>
      </c>
      <c r="G36" s="29"/>
      <c r="H36" s="29"/>
      <c r="I36" s="36">
        <f t="shared" si="1"/>
        <v>4617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55"/>
      <c r="B37" s="33"/>
      <c r="C37" s="33"/>
      <c r="D37" s="26"/>
      <c r="E37" s="26"/>
      <c r="F37" s="34">
        <f t="shared" si="3"/>
        <v>30200</v>
      </c>
      <c r="G37" s="50"/>
      <c r="H37" s="50"/>
      <c r="I37" s="36">
        <f t="shared" si="1"/>
        <v>4617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61"/>
      <c r="B38" s="25"/>
      <c r="C38" s="25"/>
      <c r="D38" s="26"/>
      <c r="E38" s="26"/>
      <c r="F38" s="34">
        <f t="shared" si="3"/>
        <v>30200</v>
      </c>
      <c r="G38" s="29"/>
      <c r="H38" s="29"/>
      <c r="I38" s="36">
        <f t="shared" si="1"/>
        <v>4617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61"/>
      <c r="B39" s="25"/>
      <c r="C39" s="25"/>
      <c r="D39" s="26"/>
      <c r="E39" s="26"/>
      <c r="F39" s="34">
        <f t="shared" si="3"/>
        <v>30200</v>
      </c>
      <c r="G39" s="29"/>
      <c r="H39" s="29"/>
      <c r="I39" s="36">
        <f t="shared" si="1"/>
        <v>4617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62"/>
      <c r="B40" s="46"/>
      <c r="C40" s="46"/>
      <c r="D40" s="44"/>
      <c r="E40" s="44"/>
      <c r="F40" s="34">
        <f t="shared" si="3"/>
        <v>30200</v>
      </c>
      <c r="G40" s="53"/>
      <c r="H40" s="53"/>
      <c r="I40" s="36">
        <f t="shared" si="1"/>
        <v>4617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61"/>
      <c r="B41" s="25"/>
      <c r="C41" s="63"/>
      <c r="D41" s="26"/>
      <c r="E41" s="26"/>
      <c r="F41" s="34">
        <f t="shared" si="3"/>
        <v>30200</v>
      </c>
      <c r="G41" s="29"/>
      <c r="H41" s="29"/>
      <c r="I41" s="36">
        <f t="shared" si="1"/>
        <v>4617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61"/>
      <c r="B42" s="25"/>
      <c r="C42" s="25"/>
      <c r="D42" s="26"/>
      <c r="E42" s="26"/>
      <c r="F42" s="34">
        <f t="shared" si="3"/>
        <v>30200</v>
      </c>
      <c r="G42" s="29"/>
      <c r="H42" s="29"/>
      <c r="I42" s="36">
        <f t="shared" si="1"/>
        <v>4617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61"/>
      <c r="B43" s="25"/>
      <c r="C43" s="25"/>
      <c r="D43" s="26"/>
      <c r="E43" s="26"/>
      <c r="F43" s="34">
        <f t="shared" si="3"/>
        <v>30200</v>
      </c>
      <c r="G43" s="29"/>
      <c r="H43" s="29"/>
      <c r="I43" s="36">
        <f t="shared" si="1"/>
        <v>4617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61"/>
      <c r="B44" s="25"/>
      <c r="C44" s="25"/>
      <c r="D44" s="26"/>
      <c r="E44" s="26"/>
      <c r="F44" s="34">
        <f t="shared" si="3"/>
        <v>30200</v>
      </c>
      <c r="G44" s="29"/>
      <c r="H44" s="29"/>
      <c r="I44" s="36">
        <f t="shared" si="1"/>
        <v>4617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61"/>
      <c r="B45" s="25"/>
      <c r="C45" s="25"/>
      <c r="D45" s="26"/>
      <c r="E45" s="26"/>
      <c r="F45" s="34">
        <f t="shared" si="3"/>
        <v>30200</v>
      </c>
      <c r="G45" s="29"/>
      <c r="H45" s="29"/>
      <c r="I45" s="36">
        <f t="shared" si="1"/>
        <v>4617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61"/>
      <c r="B46" s="25"/>
      <c r="C46" s="25"/>
      <c r="D46" s="26"/>
      <c r="E46" s="26"/>
      <c r="F46" s="34">
        <f t="shared" si="3"/>
        <v>30200</v>
      </c>
      <c r="G46" s="29"/>
      <c r="H46" s="29"/>
      <c r="I46" s="36">
        <f t="shared" si="1"/>
        <v>4617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64"/>
      <c r="B47" s="25"/>
      <c r="C47" s="25"/>
      <c r="D47" s="26"/>
      <c r="E47" s="26"/>
      <c r="F47" s="34">
        <f t="shared" si="3"/>
        <v>30200</v>
      </c>
      <c r="G47" s="29"/>
      <c r="H47" s="29"/>
      <c r="I47" s="36">
        <f t="shared" si="1"/>
        <v>4617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61"/>
      <c r="B48" s="25"/>
      <c r="C48" s="25"/>
      <c r="D48" s="26"/>
      <c r="E48" s="26"/>
      <c r="F48" s="34">
        <f t="shared" si="3"/>
        <v>30200</v>
      </c>
      <c r="G48" s="29"/>
      <c r="H48" s="29"/>
      <c r="I48" s="36">
        <f t="shared" si="1"/>
        <v>4617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61"/>
      <c r="B49" s="25"/>
      <c r="C49" s="25"/>
      <c r="D49" s="26"/>
      <c r="E49" s="26"/>
      <c r="F49" s="34">
        <f t="shared" si="3"/>
        <v>30200</v>
      </c>
      <c r="G49" s="29"/>
      <c r="H49" s="29"/>
      <c r="I49" s="36">
        <f t="shared" si="1"/>
        <v>4617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61"/>
      <c r="B50" s="25"/>
      <c r="C50" s="25"/>
      <c r="D50" s="26"/>
      <c r="E50" s="26"/>
      <c r="F50" s="34">
        <f t="shared" si="3"/>
        <v>30200</v>
      </c>
      <c r="G50" s="29"/>
      <c r="H50" s="29"/>
      <c r="I50" s="36">
        <f t="shared" si="1"/>
        <v>4617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61"/>
      <c r="B51" s="25"/>
      <c r="C51" s="25"/>
      <c r="D51" s="26"/>
      <c r="E51" s="26"/>
      <c r="F51" s="34">
        <f t="shared" si="3"/>
        <v>30200</v>
      </c>
      <c r="G51" s="29"/>
      <c r="H51" s="29"/>
      <c r="I51" s="36">
        <f t="shared" si="1"/>
        <v>4617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61"/>
      <c r="B52" s="25"/>
      <c r="C52" s="25"/>
      <c r="D52" s="26"/>
      <c r="E52" s="26"/>
      <c r="F52" s="34">
        <f t="shared" si="3"/>
        <v>30200</v>
      </c>
      <c r="G52" s="29"/>
      <c r="H52" s="29"/>
      <c r="I52" s="36">
        <f t="shared" si="1"/>
        <v>4617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61"/>
      <c r="B53" s="25"/>
      <c r="C53" s="25"/>
      <c r="D53" s="26"/>
      <c r="E53" s="26"/>
      <c r="F53" s="34">
        <f t="shared" si="3"/>
        <v>30200</v>
      </c>
      <c r="G53" s="29"/>
      <c r="H53" s="29"/>
      <c r="I53" s="36">
        <f t="shared" si="1"/>
        <v>4617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61"/>
      <c r="B54" s="25"/>
      <c r="C54" s="25"/>
      <c r="D54" s="26"/>
      <c r="E54" s="26"/>
      <c r="F54" s="34">
        <f t="shared" si="3"/>
        <v>30200</v>
      </c>
      <c r="G54" s="29"/>
      <c r="H54" s="29"/>
      <c r="I54" s="36">
        <f t="shared" si="1"/>
        <v>4617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61"/>
      <c r="B55" s="25"/>
      <c r="C55" s="25"/>
      <c r="D55" s="26"/>
      <c r="E55" s="26"/>
      <c r="F55" s="34">
        <f t="shared" si="3"/>
        <v>30200</v>
      </c>
      <c r="G55" s="29"/>
      <c r="H55" s="29"/>
      <c r="I55" s="36">
        <f t="shared" si="1"/>
        <v>4617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61"/>
      <c r="B56" s="25"/>
      <c r="C56" s="25"/>
      <c r="D56" s="26"/>
      <c r="E56" s="26"/>
      <c r="F56" s="34">
        <f t="shared" si="3"/>
        <v>30200</v>
      </c>
      <c r="G56" s="29"/>
      <c r="H56" s="29"/>
      <c r="I56" s="36">
        <f t="shared" si="1"/>
        <v>4617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61"/>
      <c r="B57" s="25"/>
      <c r="C57" s="25"/>
      <c r="D57" s="26"/>
      <c r="E57" s="26"/>
      <c r="F57" s="34">
        <f t="shared" si="3"/>
        <v>30200</v>
      </c>
      <c r="G57" s="29"/>
      <c r="H57" s="29"/>
      <c r="I57" s="36">
        <f t="shared" si="1"/>
        <v>4617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61"/>
      <c r="B58" s="25"/>
      <c r="C58" s="25"/>
      <c r="D58" s="26"/>
      <c r="E58" s="26"/>
      <c r="F58" s="34">
        <f t="shared" si="3"/>
        <v>30200</v>
      </c>
      <c r="G58" s="29"/>
      <c r="H58" s="29"/>
      <c r="I58" s="36">
        <f t="shared" si="1"/>
        <v>4617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65" t="s">
        <v>49</v>
      </c>
      <c r="B59" s="2"/>
      <c r="C59" s="2"/>
      <c r="D59" s="2"/>
      <c r="E59" s="7"/>
      <c r="F59" s="66">
        <f t="shared" si="3"/>
        <v>30200</v>
      </c>
      <c r="G59" s="19"/>
      <c r="H59" s="19"/>
      <c r="I59" s="67">
        <f t="shared" si="1"/>
        <v>4617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61"/>
      <c r="B60" s="25"/>
      <c r="C60" s="25"/>
      <c r="D60" s="26"/>
      <c r="E60" s="26"/>
      <c r="F60" s="27"/>
      <c r="G60" s="29"/>
      <c r="H60" s="29"/>
      <c r="I60" s="68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61"/>
      <c r="B61" s="25"/>
      <c r="C61" s="25"/>
      <c r="D61" s="26"/>
      <c r="E61" s="26"/>
      <c r="F61" s="27"/>
      <c r="G61" s="29"/>
      <c r="H61" s="41" t="s">
        <v>50</v>
      </c>
      <c r="I61" s="6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61"/>
      <c r="B62" s="25"/>
      <c r="C62" s="25"/>
      <c r="D62" s="26"/>
      <c r="E62" s="26"/>
      <c r="F62" s="27"/>
      <c r="G62" s="29"/>
      <c r="H62" s="29"/>
      <c r="I62" s="68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61"/>
      <c r="B63" s="25"/>
      <c r="C63" s="25"/>
      <c r="D63" s="26"/>
      <c r="E63" s="29"/>
      <c r="F63" s="27"/>
      <c r="G63" s="29"/>
      <c r="H63" s="29"/>
      <c r="I63" s="68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61"/>
      <c r="B64" s="25"/>
      <c r="C64" s="25"/>
      <c r="D64" s="26"/>
      <c r="E64" s="29"/>
      <c r="F64" s="27"/>
      <c r="G64" s="29"/>
      <c r="H64" s="29"/>
      <c r="I64" s="68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61"/>
      <c r="B65" s="25"/>
      <c r="C65" s="25"/>
      <c r="D65" s="26"/>
      <c r="E65" s="29"/>
      <c r="F65" s="27"/>
      <c r="G65" s="29"/>
      <c r="H65" s="29"/>
      <c r="I65" s="6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61"/>
      <c r="B66" s="25"/>
      <c r="C66" s="25"/>
      <c r="D66" s="26"/>
      <c r="E66" s="26"/>
      <c r="F66" s="27"/>
      <c r="G66" s="29"/>
      <c r="H66" s="29"/>
      <c r="I66" s="68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61"/>
      <c r="B67" s="25"/>
      <c r="C67" s="25"/>
      <c r="D67" s="26"/>
      <c r="E67" s="26"/>
      <c r="F67" s="27"/>
      <c r="G67" s="29"/>
      <c r="H67" s="29"/>
      <c r="I67" s="6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61"/>
      <c r="B68" s="25"/>
      <c r="C68" s="25"/>
      <c r="D68" s="26"/>
      <c r="E68" s="26"/>
      <c r="F68" s="27"/>
      <c r="G68" s="29"/>
      <c r="H68" s="29"/>
      <c r="I68" s="68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69"/>
      <c r="C69" s="6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69"/>
      <c r="C70" s="6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69"/>
      <c r="C71" s="6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69"/>
      <c r="C72" s="6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69"/>
      <c r="C73" s="6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69"/>
      <c r="C74" s="6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69"/>
      <c r="C75" s="6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69"/>
      <c r="C76" s="6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69"/>
      <c r="C77" s="6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69"/>
      <c r="C78" s="6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69"/>
      <c r="C79" s="6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69"/>
      <c r="C80" s="6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69"/>
      <c r="C81" s="6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69"/>
      <c r="C82" s="6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69"/>
      <c r="C83" s="6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69"/>
      <c r="C84" s="6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69"/>
      <c r="C85" s="6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69"/>
      <c r="C86" s="6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69"/>
      <c r="C87" s="6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69"/>
      <c r="C88" s="6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69"/>
      <c r="C89" s="6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69"/>
      <c r="C90" s="6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69"/>
      <c r="C91" s="6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69"/>
      <c r="C92" s="6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69"/>
      <c r="C93" s="6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69"/>
      <c r="C94" s="6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69"/>
      <c r="C95" s="6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69"/>
      <c r="C96" s="6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69"/>
      <c r="C97" s="6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69"/>
      <c r="C98" s="6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69"/>
      <c r="C99" s="6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69"/>
      <c r="C100" s="6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69"/>
      <c r="C101" s="6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69"/>
      <c r="C102" s="6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69"/>
      <c r="C103" s="6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69"/>
      <c r="C104" s="6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69"/>
      <c r="C105" s="6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69"/>
      <c r="C106" s="6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69"/>
      <c r="C107" s="6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69"/>
      <c r="C108" s="6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69"/>
      <c r="C109" s="6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69"/>
      <c r="C110" s="6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69"/>
      <c r="C111" s="6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69"/>
      <c r="C112" s="6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69"/>
      <c r="C113" s="6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69"/>
      <c r="C114" s="6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69"/>
      <c r="C115" s="6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69"/>
      <c r="C116" s="6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69"/>
      <c r="C117" s="6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69"/>
      <c r="C118" s="6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69"/>
      <c r="C119" s="6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69"/>
      <c r="C120" s="6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69"/>
      <c r="C121" s="6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69"/>
      <c r="C122" s="6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69"/>
      <c r="C123" s="6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69"/>
      <c r="C124" s="6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69"/>
      <c r="C125" s="6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69"/>
      <c r="C126" s="6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69"/>
      <c r="C127" s="6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69"/>
      <c r="C128" s="6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69"/>
      <c r="C129" s="6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69"/>
      <c r="C130" s="6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69"/>
      <c r="C131" s="6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69"/>
      <c r="C132" s="6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69"/>
      <c r="C133" s="6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69"/>
      <c r="C134" s="6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69"/>
      <c r="C135" s="6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69"/>
      <c r="C136" s="6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69"/>
      <c r="C137" s="6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69"/>
      <c r="C138" s="6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69"/>
      <c r="C139" s="6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69"/>
      <c r="C140" s="6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69"/>
      <c r="C141" s="6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69"/>
      <c r="C142" s="6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69"/>
      <c r="C143" s="6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69"/>
      <c r="C144" s="6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69"/>
      <c r="C145" s="6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69"/>
      <c r="C146" s="6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69"/>
      <c r="C147" s="6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69"/>
      <c r="C148" s="6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69"/>
      <c r="C149" s="6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69"/>
      <c r="C150" s="6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69"/>
      <c r="C151" s="6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69"/>
      <c r="C152" s="6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69"/>
      <c r="C153" s="6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69"/>
      <c r="C154" s="6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69"/>
      <c r="C155" s="6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69"/>
      <c r="C156" s="6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69"/>
      <c r="C157" s="6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69"/>
      <c r="C158" s="6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69"/>
      <c r="C159" s="6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69"/>
      <c r="C160" s="6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69"/>
      <c r="C161" s="6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69"/>
      <c r="C162" s="6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69"/>
      <c r="C163" s="6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69"/>
      <c r="C164" s="6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69"/>
      <c r="C165" s="6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69"/>
      <c r="C166" s="6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69"/>
      <c r="C167" s="6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69"/>
      <c r="C168" s="6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69"/>
      <c r="C169" s="6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69"/>
      <c r="C170" s="6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69"/>
      <c r="C171" s="6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69"/>
      <c r="C172" s="6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69"/>
      <c r="C173" s="6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69"/>
      <c r="C174" s="6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69"/>
      <c r="C175" s="6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69"/>
      <c r="C176" s="6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69"/>
      <c r="C177" s="6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69"/>
      <c r="C178" s="6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69"/>
      <c r="C179" s="6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69"/>
      <c r="C180" s="6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69"/>
      <c r="C181" s="6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69"/>
      <c r="C182" s="6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69"/>
      <c r="C183" s="6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69"/>
      <c r="C184" s="6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69"/>
      <c r="C185" s="6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69"/>
      <c r="C186" s="6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69"/>
      <c r="C187" s="6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69"/>
      <c r="C188" s="6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69"/>
      <c r="C189" s="6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69"/>
      <c r="C190" s="6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69"/>
      <c r="C191" s="6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69"/>
      <c r="C192" s="6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69"/>
      <c r="C193" s="6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69"/>
      <c r="C194" s="6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69"/>
      <c r="C195" s="6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69"/>
      <c r="C196" s="6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69"/>
      <c r="C197" s="6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69"/>
      <c r="C198" s="6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69"/>
      <c r="C199" s="6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69"/>
      <c r="C200" s="6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69"/>
      <c r="C201" s="6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69"/>
      <c r="C202" s="6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69"/>
      <c r="C203" s="6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69"/>
      <c r="C204" s="6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69"/>
      <c r="C205" s="6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69"/>
      <c r="C206" s="6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69"/>
      <c r="C207" s="6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69"/>
      <c r="C208" s="6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69"/>
      <c r="C209" s="6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69"/>
      <c r="C210" s="6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69"/>
      <c r="C211" s="6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69"/>
      <c r="C212" s="6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69"/>
      <c r="C213" s="6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69"/>
      <c r="C214" s="6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69"/>
      <c r="C215" s="6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69"/>
      <c r="C216" s="6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69"/>
      <c r="C217" s="6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69"/>
      <c r="C218" s="6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69"/>
      <c r="C219" s="6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69"/>
      <c r="C220" s="6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69"/>
      <c r="C221" s="6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69"/>
      <c r="C222" s="6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69"/>
      <c r="C223" s="6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69"/>
      <c r="C224" s="6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69"/>
      <c r="C225" s="6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69"/>
      <c r="C226" s="6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69"/>
      <c r="C227" s="6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69"/>
      <c r="C228" s="6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69"/>
      <c r="C229" s="6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69"/>
      <c r="C230" s="6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69"/>
      <c r="C231" s="6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69"/>
      <c r="C232" s="6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69"/>
      <c r="C233" s="6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69"/>
      <c r="C234" s="6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69"/>
      <c r="C235" s="6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69"/>
      <c r="C236" s="6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69"/>
      <c r="C237" s="6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69"/>
      <c r="C238" s="6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69"/>
      <c r="C239" s="6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69"/>
      <c r="C240" s="6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69"/>
      <c r="C241" s="6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69"/>
      <c r="C242" s="6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69"/>
      <c r="C243" s="6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69"/>
      <c r="C244" s="6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69"/>
      <c r="C245" s="6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69"/>
      <c r="C246" s="6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69"/>
      <c r="C247" s="6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69"/>
      <c r="C248" s="6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69"/>
      <c r="C249" s="6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69"/>
      <c r="C250" s="6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69"/>
      <c r="C251" s="6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69"/>
      <c r="C252" s="6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69"/>
      <c r="C253" s="6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69"/>
      <c r="C254" s="6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69"/>
      <c r="C255" s="6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69"/>
      <c r="C256" s="6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69"/>
      <c r="C257" s="6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69"/>
      <c r="C258" s="6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69"/>
      <c r="C259" s="6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69"/>
      <c r="C260" s="6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69"/>
      <c r="C261" s="6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69"/>
      <c r="C262" s="6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69"/>
      <c r="C263" s="6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69"/>
      <c r="C264" s="6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69"/>
      <c r="C265" s="6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69"/>
      <c r="C266" s="6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69"/>
      <c r="C267" s="6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69"/>
      <c r="C268" s="6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69"/>
      <c r="C269" s="6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69"/>
      <c r="C270" s="6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69"/>
      <c r="C271" s="6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69"/>
      <c r="C272" s="6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69"/>
      <c r="C273" s="6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69"/>
      <c r="C274" s="6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69"/>
      <c r="C275" s="6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69"/>
      <c r="C276" s="6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69"/>
      <c r="C277" s="6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69"/>
      <c r="C278" s="6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69"/>
      <c r="C279" s="6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69"/>
      <c r="C280" s="6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69"/>
      <c r="C281" s="6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69"/>
      <c r="C282" s="6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69"/>
      <c r="C283" s="6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69"/>
      <c r="C284" s="6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69"/>
      <c r="C285" s="6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69"/>
      <c r="C286" s="6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69"/>
      <c r="C287" s="6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69"/>
      <c r="C288" s="6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69"/>
      <c r="C289" s="6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69"/>
      <c r="C290" s="6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69"/>
      <c r="C291" s="6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69"/>
      <c r="C292" s="6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69"/>
      <c r="C293" s="6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69"/>
      <c r="C294" s="6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69"/>
      <c r="C295" s="6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69"/>
      <c r="C296" s="6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69"/>
      <c r="C297" s="6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69"/>
      <c r="C298" s="6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69"/>
      <c r="C299" s="6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69"/>
      <c r="C300" s="6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69"/>
      <c r="C301" s="6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69"/>
      <c r="C302" s="6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69"/>
      <c r="C303" s="6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69"/>
      <c r="C304" s="6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69"/>
      <c r="C305" s="6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69"/>
      <c r="C306" s="6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69"/>
      <c r="C307" s="6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69"/>
      <c r="C308" s="6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69"/>
      <c r="C309" s="6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69"/>
      <c r="C310" s="6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69"/>
      <c r="C311" s="6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69"/>
      <c r="C312" s="6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69"/>
      <c r="C313" s="6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69"/>
      <c r="C314" s="6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69"/>
      <c r="C315" s="6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69"/>
      <c r="C316" s="6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69"/>
      <c r="C317" s="6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69"/>
      <c r="C318" s="6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69"/>
      <c r="C319" s="6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69"/>
      <c r="C320" s="6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69"/>
      <c r="C321" s="6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69"/>
      <c r="C322" s="6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69"/>
      <c r="C323" s="6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69"/>
      <c r="C324" s="6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69"/>
      <c r="C325" s="6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69"/>
      <c r="C326" s="6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69"/>
      <c r="C327" s="6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69"/>
      <c r="C328" s="6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69"/>
      <c r="C329" s="6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69"/>
      <c r="C330" s="6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69"/>
      <c r="C331" s="6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69"/>
      <c r="C332" s="6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69"/>
      <c r="C333" s="6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69"/>
      <c r="C334" s="6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69"/>
      <c r="C335" s="6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69"/>
      <c r="C336" s="6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69"/>
      <c r="C337" s="6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69"/>
      <c r="C338" s="6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69"/>
      <c r="C339" s="6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69"/>
      <c r="C340" s="6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69"/>
      <c r="C341" s="6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69"/>
      <c r="C342" s="6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69"/>
      <c r="C343" s="6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69"/>
      <c r="C344" s="6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69"/>
      <c r="C345" s="6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69"/>
      <c r="C346" s="6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69"/>
      <c r="C347" s="6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69"/>
      <c r="C348" s="6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69"/>
      <c r="C349" s="6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69"/>
      <c r="C350" s="6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69"/>
      <c r="C351" s="6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69"/>
      <c r="C352" s="6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69"/>
      <c r="C353" s="6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69"/>
      <c r="C354" s="6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69"/>
      <c r="C355" s="6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69"/>
      <c r="C356" s="6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69"/>
      <c r="C357" s="6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69"/>
      <c r="C358" s="6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69"/>
      <c r="C359" s="6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69"/>
      <c r="C360" s="6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69"/>
      <c r="C361" s="6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69"/>
      <c r="C362" s="6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69"/>
      <c r="C363" s="6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69"/>
      <c r="C364" s="6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69"/>
      <c r="C365" s="6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69"/>
      <c r="C366" s="6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69"/>
      <c r="C367" s="6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69"/>
      <c r="C368" s="6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69"/>
      <c r="C369" s="6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69"/>
      <c r="C370" s="6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69"/>
      <c r="C371" s="6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69"/>
      <c r="C372" s="6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69"/>
      <c r="C373" s="6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69"/>
      <c r="C374" s="6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69"/>
      <c r="C375" s="6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69"/>
      <c r="C376" s="6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69"/>
      <c r="C377" s="6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69"/>
      <c r="C378" s="6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69"/>
      <c r="C379" s="6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69"/>
      <c r="C380" s="6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69"/>
      <c r="C381" s="6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69"/>
      <c r="C382" s="6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69"/>
      <c r="C383" s="6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69"/>
      <c r="C384" s="6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69"/>
      <c r="C385" s="6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69"/>
      <c r="C386" s="6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69"/>
      <c r="C387" s="6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69"/>
      <c r="C388" s="6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69"/>
      <c r="C389" s="6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69"/>
      <c r="C390" s="6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69"/>
      <c r="C391" s="6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69"/>
      <c r="C392" s="6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69"/>
      <c r="C393" s="6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69"/>
      <c r="C394" s="6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69"/>
      <c r="C395" s="6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69"/>
      <c r="C396" s="6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69"/>
      <c r="C397" s="6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69"/>
      <c r="C398" s="6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69"/>
      <c r="C399" s="6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69"/>
      <c r="C400" s="6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69"/>
      <c r="C401" s="6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69"/>
      <c r="C402" s="6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69"/>
      <c r="C403" s="6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69"/>
      <c r="C404" s="6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69"/>
      <c r="C405" s="6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69"/>
      <c r="C406" s="6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69"/>
      <c r="C407" s="6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69"/>
      <c r="C408" s="6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69"/>
      <c r="C409" s="6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69"/>
      <c r="C410" s="6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69"/>
      <c r="C411" s="6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69"/>
      <c r="C412" s="6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69"/>
      <c r="C413" s="6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69"/>
      <c r="C414" s="6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69"/>
      <c r="C415" s="6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69"/>
      <c r="C416" s="6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69"/>
      <c r="C417" s="6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69"/>
      <c r="C418" s="6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69"/>
      <c r="C419" s="6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69"/>
      <c r="C420" s="6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69"/>
      <c r="C421" s="6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69"/>
      <c r="C422" s="6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69"/>
      <c r="C423" s="6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69"/>
      <c r="C424" s="6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69"/>
      <c r="C425" s="6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69"/>
      <c r="C426" s="6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69"/>
      <c r="C427" s="6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69"/>
      <c r="C428" s="6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69"/>
      <c r="C429" s="6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69"/>
      <c r="C430" s="6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69"/>
      <c r="C431" s="6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69"/>
      <c r="C432" s="6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69"/>
      <c r="C433" s="6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69"/>
      <c r="C434" s="6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69"/>
      <c r="C435" s="6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69"/>
      <c r="C436" s="6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69"/>
      <c r="C437" s="6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69"/>
      <c r="C438" s="6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69"/>
      <c r="C439" s="6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69"/>
      <c r="C440" s="6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69"/>
      <c r="C441" s="6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69"/>
      <c r="C442" s="6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69"/>
      <c r="C443" s="6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69"/>
      <c r="C444" s="6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69"/>
      <c r="C445" s="6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69"/>
      <c r="C446" s="6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69"/>
      <c r="C447" s="6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69"/>
      <c r="C448" s="6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69"/>
      <c r="C449" s="6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69"/>
      <c r="C450" s="6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69"/>
      <c r="C451" s="6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69"/>
      <c r="C452" s="6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69"/>
      <c r="C453" s="6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69"/>
      <c r="C454" s="6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69"/>
      <c r="C455" s="6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69"/>
      <c r="C456" s="6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69"/>
      <c r="C457" s="6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69"/>
      <c r="C458" s="6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69"/>
      <c r="C459" s="6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69"/>
      <c r="C460" s="6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69"/>
      <c r="C461" s="6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69"/>
      <c r="C462" s="6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69"/>
      <c r="C463" s="6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69"/>
      <c r="C464" s="6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69"/>
      <c r="C465" s="6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69"/>
      <c r="C466" s="6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69"/>
      <c r="C467" s="6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69"/>
      <c r="C468" s="6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69"/>
      <c r="C469" s="6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69"/>
      <c r="C470" s="6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69"/>
      <c r="C471" s="6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69"/>
      <c r="C472" s="6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69"/>
      <c r="C473" s="6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69"/>
      <c r="C474" s="6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69"/>
      <c r="C475" s="6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69"/>
      <c r="C476" s="6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69"/>
      <c r="C477" s="6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69"/>
      <c r="C478" s="6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69"/>
      <c r="C479" s="6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69"/>
      <c r="C480" s="6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69"/>
      <c r="C481" s="6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69"/>
      <c r="C482" s="6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69"/>
      <c r="C483" s="6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69"/>
      <c r="C484" s="6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69"/>
      <c r="C485" s="6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69"/>
      <c r="C486" s="6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69"/>
      <c r="C487" s="6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69"/>
      <c r="C488" s="6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69"/>
      <c r="C489" s="6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69"/>
      <c r="C490" s="6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69"/>
      <c r="C491" s="6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69"/>
      <c r="C492" s="6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69"/>
      <c r="C493" s="6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69"/>
      <c r="C494" s="6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69"/>
      <c r="C495" s="6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69"/>
      <c r="C496" s="6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69"/>
      <c r="C497" s="6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69"/>
      <c r="C498" s="6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69"/>
      <c r="C499" s="6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69"/>
      <c r="C500" s="6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69"/>
      <c r="C501" s="6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69"/>
      <c r="C502" s="6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69"/>
      <c r="C503" s="6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69"/>
      <c r="C504" s="6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69"/>
      <c r="C505" s="6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69"/>
      <c r="C506" s="6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69"/>
      <c r="C507" s="6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69"/>
      <c r="C508" s="6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69"/>
      <c r="C509" s="6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69"/>
      <c r="C510" s="6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69"/>
      <c r="C511" s="6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69"/>
      <c r="C512" s="6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69"/>
      <c r="C513" s="6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69"/>
      <c r="C514" s="6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69"/>
      <c r="C515" s="6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69"/>
      <c r="C516" s="6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69"/>
      <c r="C517" s="6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69"/>
      <c r="C518" s="6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69"/>
      <c r="C519" s="6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69"/>
      <c r="C520" s="6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69"/>
      <c r="C521" s="6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69"/>
      <c r="C522" s="6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69"/>
      <c r="C523" s="6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69"/>
      <c r="C524" s="6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69"/>
      <c r="C525" s="6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69"/>
      <c r="C526" s="6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69"/>
      <c r="C527" s="6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69"/>
      <c r="C528" s="6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69"/>
      <c r="C529" s="6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69"/>
      <c r="C530" s="6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69"/>
      <c r="C531" s="6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69"/>
      <c r="C532" s="6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69"/>
      <c r="C533" s="6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69"/>
      <c r="C534" s="6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69"/>
      <c r="C535" s="6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69"/>
      <c r="C536" s="6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69"/>
      <c r="C537" s="6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69"/>
      <c r="C538" s="6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69"/>
      <c r="C539" s="6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69"/>
      <c r="C540" s="6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69"/>
      <c r="C541" s="6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69"/>
      <c r="C542" s="6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69"/>
      <c r="C543" s="6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69"/>
      <c r="C544" s="6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69"/>
      <c r="C545" s="6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69"/>
      <c r="C546" s="6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69"/>
      <c r="C547" s="6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69"/>
      <c r="C548" s="6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69"/>
      <c r="C549" s="6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69"/>
      <c r="C550" s="6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69"/>
      <c r="C551" s="6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69"/>
      <c r="C552" s="6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69"/>
      <c r="C553" s="6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69"/>
      <c r="C554" s="6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69"/>
      <c r="C555" s="6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69"/>
      <c r="C556" s="6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69"/>
      <c r="C557" s="6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69"/>
      <c r="C558" s="6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69"/>
      <c r="C559" s="6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69"/>
      <c r="C560" s="6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69"/>
      <c r="C561" s="6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69"/>
      <c r="C562" s="6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69"/>
      <c r="C563" s="6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69"/>
      <c r="C564" s="6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69"/>
      <c r="C565" s="6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69"/>
      <c r="C566" s="6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69"/>
      <c r="C567" s="6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69"/>
      <c r="C568" s="6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69"/>
      <c r="C569" s="6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69"/>
      <c r="C570" s="6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69"/>
      <c r="C571" s="6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69"/>
      <c r="C572" s="6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69"/>
      <c r="C573" s="6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69"/>
      <c r="C574" s="6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69"/>
      <c r="C575" s="6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69"/>
      <c r="C576" s="6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69"/>
      <c r="C577" s="6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69"/>
      <c r="C578" s="6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69"/>
      <c r="C579" s="6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69"/>
      <c r="C580" s="6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69"/>
      <c r="C581" s="6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69"/>
      <c r="C582" s="6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69"/>
      <c r="C583" s="6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69"/>
      <c r="C584" s="6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69"/>
      <c r="C585" s="6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69"/>
      <c r="C586" s="6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69"/>
      <c r="C587" s="6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69"/>
      <c r="C588" s="6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69"/>
      <c r="C589" s="6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69"/>
      <c r="C590" s="6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69"/>
      <c r="C591" s="6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69"/>
      <c r="C592" s="6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69"/>
      <c r="C593" s="6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69"/>
      <c r="C594" s="6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69"/>
      <c r="C595" s="6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69"/>
      <c r="C596" s="6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69"/>
      <c r="C597" s="6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69"/>
      <c r="C598" s="6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69"/>
      <c r="C599" s="6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69"/>
      <c r="C600" s="6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69"/>
      <c r="C601" s="6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69"/>
      <c r="C602" s="6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69"/>
      <c r="C603" s="6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69"/>
      <c r="C604" s="6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69"/>
      <c r="C605" s="6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69"/>
      <c r="C606" s="6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69"/>
      <c r="C607" s="6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69"/>
      <c r="C608" s="6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69"/>
      <c r="C609" s="6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69"/>
      <c r="C610" s="6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69"/>
      <c r="C611" s="6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69"/>
      <c r="C612" s="6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69"/>
      <c r="C613" s="6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69"/>
      <c r="C614" s="6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69"/>
      <c r="C615" s="6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69"/>
      <c r="C616" s="6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69"/>
      <c r="C617" s="6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69"/>
      <c r="C618" s="6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69"/>
      <c r="C619" s="6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69"/>
      <c r="C620" s="6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69"/>
      <c r="C621" s="6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69"/>
      <c r="C622" s="6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69"/>
      <c r="C623" s="6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69"/>
      <c r="C624" s="6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69"/>
      <c r="C625" s="6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69"/>
      <c r="C626" s="6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69"/>
      <c r="C627" s="6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69"/>
      <c r="C628" s="6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69"/>
      <c r="C629" s="6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69"/>
      <c r="C630" s="6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69"/>
      <c r="C631" s="6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69"/>
      <c r="C632" s="6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69"/>
      <c r="C633" s="6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69"/>
      <c r="C634" s="6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69"/>
      <c r="C635" s="6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69"/>
      <c r="C636" s="6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69"/>
      <c r="C637" s="6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69"/>
      <c r="C638" s="6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69"/>
      <c r="C639" s="6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69"/>
      <c r="C640" s="6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69"/>
      <c r="C641" s="6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69"/>
      <c r="C642" s="6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69"/>
      <c r="C643" s="6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69"/>
      <c r="C644" s="6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69"/>
      <c r="C645" s="6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69"/>
      <c r="C646" s="6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69"/>
      <c r="C647" s="6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69"/>
      <c r="C648" s="6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69"/>
      <c r="C649" s="6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69"/>
      <c r="C650" s="6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69"/>
      <c r="C651" s="6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69"/>
      <c r="C652" s="6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69"/>
      <c r="C653" s="6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69"/>
      <c r="C654" s="6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69"/>
      <c r="C655" s="6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69"/>
      <c r="C656" s="6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69"/>
      <c r="C657" s="6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69"/>
      <c r="C658" s="6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69"/>
      <c r="C659" s="6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69"/>
      <c r="C660" s="6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69"/>
      <c r="C661" s="6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69"/>
      <c r="C662" s="6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69"/>
      <c r="C663" s="6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69"/>
      <c r="C664" s="6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69"/>
      <c r="C665" s="6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69"/>
      <c r="C666" s="6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69"/>
      <c r="C667" s="6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69"/>
      <c r="C668" s="6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69"/>
      <c r="C669" s="6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69"/>
      <c r="C670" s="6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69"/>
      <c r="C671" s="6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69"/>
      <c r="C672" s="6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69"/>
      <c r="C673" s="6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69"/>
      <c r="C674" s="6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69"/>
      <c r="C675" s="6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69"/>
      <c r="C676" s="6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69"/>
      <c r="C677" s="6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69"/>
      <c r="C678" s="6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69"/>
      <c r="C679" s="6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69"/>
      <c r="C680" s="6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69"/>
      <c r="C681" s="6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69"/>
      <c r="C682" s="6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69"/>
      <c r="C683" s="6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69"/>
      <c r="C684" s="6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69"/>
      <c r="C685" s="6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69"/>
      <c r="C686" s="6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69"/>
      <c r="C687" s="6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69"/>
      <c r="C688" s="6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69"/>
      <c r="C689" s="6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69"/>
      <c r="C690" s="6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69"/>
      <c r="C691" s="6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69"/>
      <c r="C692" s="6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69"/>
      <c r="C693" s="6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69"/>
      <c r="C694" s="6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69"/>
      <c r="C695" s="6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69"/>
      <c r="C696" s="6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69"/>
      <c r="C697" s="6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69"/>
      <c r="C698" s="6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69"/>
      <c r="C699" s="6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69"/>
      <c r="C700" s="6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69"/>
      <c r="C701" s="6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69"/>
      <c r="C702" s="6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69"/>
      <c r="C703" s="6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69"/>
      <c r="C704" s="6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69"/>
      <c r="C705" s="6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69"/>
      <c r="C706" s="6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69"/>
      <c r="C707" s="6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69"/>
      <c r="C708" s="6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69"/>
      <c r="C709" s="6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69"/>
      <c r="C710" s="6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69"/>
      <c r="C711" s="6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69"/>
      <c r="C712" s="6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69"/>
      <c r="C713" s="6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69"/>
      <c r="C714" s="6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69"/>
      <c r="C715" s="6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69"/>
      <c r="C716" s="6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69"/>
      <c r="C717" s="6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69"/>
      <c r="C718" s="6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69"/>
      <c r="C719" s="6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69"/>
      <c r="C720" s="6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69"/>
      <c r="C721" s="6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69"/>
      <c r="C722" s="6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69"/>
      <c r="C723" s="6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69"/>
      <c r="C724" s="6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69"/>
      <c r="C725" s="6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69"/>
      <c r="C726" s="6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69"/>
      <c r="C727" s="6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69"/>
      <c r="C728" s="6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69"/>
      <c r="C729" s="6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69"/>
      <c r="C730" s="6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69"/>
      <c r="C731" s="6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69"/>
      <c r="C732" s="6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69"/>
      <c r="C733" s="6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69"/>
      <c r="C734" s="6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69"/>
      <c r="C735" s="6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69"/>
      <c r="C736" s="6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69"/>
      <c r="C737" s="6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69"/>
      <c r="C738" s="6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69"/>
      <c r="C739" s="6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69"/>
      <c r="C740" s="6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69"/>
      <c r="C741" s="6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69"/>
      <c r="C742" s="6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69"/>
      <c r="C743" s="6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69"/>
      <c r="C744" s="6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69"/>
      <c r="C745" s="6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69"/>
      <c r="C746" s="6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69"/>
      <c r="C747" s="6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69"/>
      <c r="C748" s="6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69"/>
      <c r="C749" s="6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69"/>
      <c r="C750" s="6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69"/>
      <c r="C751" s="6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69"/>
      <c r="C752" s="6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69"/>
      <c r="C753" s="6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69"/>
      <c r="C754" s="6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69"/>
      <c r="C755" s="6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69"/>
      <c r="C756" s="6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69"/>
      <c r="C757" s="6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69"/>
      <c r="C758" s="6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69"/>
      <c r="C759" s="6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69"/>
      <c r="C760" s="6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69"/>
      <c r="C761" s="6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69"/>
      <c r="C762" s="6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69"/>
      <c r="C763" s="6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69"/>
      <c r="C764" s="6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69"/>
      <c r="C765" s="6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69"/>
      <c r="C766" s="6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69"/>
      <c r="C767" s="6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69"/>
      <c r="C768" s="6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69"/>
      <c r="C769" s="6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69"/>
      <c r="C770" s="6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69"/>
      <c r="C771" s="6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69"/>
      <c r="C772" s="6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69"/>
      <c r="C773" s="6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69"/>
      <c r="C774" s="6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69"/>
      <c r="C775" s="6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69"/>
      <c r="C776" s="6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69"/>
      <c r="C777" s="6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69"/>
      <c r="C778" s="6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69"/>
      <c r="C779" s="6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69"/>
      <c r="C780" s="6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69"/>
      <c r="C781" s="6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69"/>
      <c r="C782" s="6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69"/>
      <c r="C783" s="6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69"/>
      <c r="C784" s="6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69"/>
      <c r="C785" s="6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69"/>
      <c r="C786" s="6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69"/>
      <c r="C787" s="6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69"/>
      <c r="C788" s="6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69"/>
      <c r="C789" s="6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69"/>
      <c r="C790" s="6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69"/>
      <c r="C791" s="6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69"/>
      <c r="C792" s="6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69"/>
      <c r="C793" s="6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69"/>
      <c r="C794" s="6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69"/>
      <c r="C795" s="6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69"/>
      <c r="C796" s="6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69"/>
      <c r="C797" s="6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69"/>
      <c r="C798" s="6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69"/>
      <c r="C799" s="6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69"/>
      <c r="C800" s="6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69"/>
      <c r="C801" s="6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69"/>
      <c r="C802" s="6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69"/>
      <c r="C803" s="6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69"/>
      <c r="C804" s="6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69"/>
      <c r="C805" s="6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69"/>
      <c r="C806" s="6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69"/>
      <c r="C807" s="6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69"/>
      <c r="C808" s="6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69"/>
      <c r="C809" s="6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69"/>
      <c r="C810" s="6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69"/>
      <c r="C811" s="6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69"/>
      <c r="C812" s="6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69"/>
      <c r="C813" s="6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69"/>
      <c r="C814" s="6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69"/>
      <c r="C815" s="6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69"/>
      <c r="C816" s="6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69"/>
      <c r="C817" s="6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69"/>
      <c r="C818" s="6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69"/>
      <c r="C819" s="6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69"/>
      <c r="C820" s="6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69"/>
      <c r="C821" s="6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69"/>
      <c r="C822" s="6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69"/>
      <c r="C823" s="6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69"/>
      <c r="C824" s="6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69"/>
      <c r="C825" s="6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69"/>
      <c r="C826" s="6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69"/>
      <c r="C827" s="6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69"/>
      <c r="C828" s="6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69"/>
      <c r="C829" s="6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69"/>
      <c r="C830" s="6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69"/>
      <c r="C831" s="6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69"/>
      <c r="C832" s="6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69"/>
      <c r="C833" s="6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69"/>
      <c r="C834" s="6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69"/>
      <c r="C835" s="6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69"/>
      <c r="C836" s="6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69"/>
      <c r="C837" s="6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69"/>
      <c r="C838" s="6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69"/>
      <c r="C839" s="6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69"/>
      <c r="C840" s="6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69"/>
      <c r="C841" s="6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69"/>
      <c r="C842" s="6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69"/>
      <c r="C843" s="6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69"/>
      <c r="C844" s="6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69"/>
      <c r="C845" s="6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69"/>
      <c r="C846" s="6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69"/>
      <c r="C847" s="6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69"/>
      <c r="C848" s="6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69"/>
      <c r="C849" s="6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69"/>
      <c r="C850" s="6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69"/>
      <c r="C851" s="6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69"/>
      <c r="C852" s="6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69"/>
      <c r="C853" s="6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69"/>
      <c r="C854" s="6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69"/>
      <c r="C855" s="6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69"/>
      <c r="C856" s="6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69"/>
      <c r="C857" s="6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69"/>
      <c r="C858" s="6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69"/>
      <c r="C859" s="6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69"/>
      <c r="C860" s="6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69"/>
      <c r="C861" s="6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69"/>
      <c r="C862" s="6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69"/>
      <c r="C863" s="6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69"/>
      <c r="C864" s="6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69"/>
      <c r="C865" s="6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69"/>
      <c r="C866" s="6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69"/>
      <c r="C867" s="6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69"/>
      <c r="C868" s="6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69"/>
      <c r="C869" s="6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69"/>
      <c r="C870" s="6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69"/>
      <c r="C871" s="6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69"/>
      <c r="C872" s="6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69"/>
      <c r="C873" s="6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69"/>
      <c r="C874" s="6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69"/>
      <c r="C875" s="6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69"/>
      <c r="C876" s="6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69"/>
      <c r="C877" s="6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69"/>
      <c r="C878" s="6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69"/>
      <c r="C879" s="6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69"/>
      <c r="C880" s="6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69"/>
      <c r="C881" s="6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69"/>
      <c r="C882" s="6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69"/>
      <c r="C883" s="6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69"/>
      <c r="C884" s="6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69"/>
      <c r="C885" s="6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69"/>
      <c r="C886" s="6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69"/>
      <c r="C887" s="6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69"/>
      <c r="C888" s="6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69"/>
      <c r="C889" s="6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69"/>
      <c r="C890" s="6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69"/>
      <c r="C891" s="6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69"/>
      <c r="C892" s="6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69"/>
      <c r="C893" s="6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69"/>
      <c r="C894" s="6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69"/>
      <c r="C895" s="6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69"/>
      <c r="C896" s="6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69"/>
      <c r="C897" s="6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69"/>
      <c r="C898" s="6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69"/>
      <c r="C899" s="6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69"/>
      <c r="C900" s="6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69"/>
      <c r="C901" s="6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69"/>
      <c r="C902" s="6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69"/>
      <c r="C903" s="6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69"/>
      <c r="C904" s="6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69"/>
      <c r="C905" s="6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69"/>
      <c r="C906" s="6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69"/>
      <c r="C907" s="6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69"/>
      <c r="C908" s="6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69"/>
      <c r="C909" s="6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69"/>
      <c r="C910" s="6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69"/>
      <c r="C911" s="6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69"/>
      <c r="C912" s="6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69"/>
      <c r="C913" s="6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69"/>
      <c r="C914" s="6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69"/>
      <c r="C915" s="6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69"/>
      <c r="C916" s="6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69"/>
      <c r="C917" s="6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69"/>
      <c r="C918" s="6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69"/>
      <c r="C919" s="6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69"/>
      <c r="C920" s="6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69"/>
      <c r="C921" s="6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69"/>
      <c r="C922" s="6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69"/>
      <c r="C923" s="6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69"/>
      <c r="C924" s="6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69"/>
      <c r="C925" s="6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69"/>
      <c r="C926" s="6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69"/>
      <c r="C927" s="6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69"/>
      <c r="C928" s="6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69"/>
      <c r="C929" s="6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69"/>
      <c r="C930" s="6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69"/>
      <c r="C931" s="6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69"/>
      <c r="C932" s="6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69"/>
      <c r="C933" s="6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69"/>
      <c r="C934" s="6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69"/>
      <c r="C935" s="6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69"/>
      <c r="C936" s="6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69"/>
      <c r="C937" s="6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69"/>
      <c r="C938" s="6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69"/>
      <c r="C939" s="6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69"/>
      <c r="C940" s="6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69"/>
      <c r="C941" s="6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69"/>
      <c r="C942" s="6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69"/>
      <c r="C943" s="6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69"/>
      <c r="C944" s="6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69"/>
      <c r="C945" s="6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69"/>
      <c r="C946" s="6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69"/>
      <c r="C947" s="6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69"/>
      <c r="C948" s="6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69"/>
      <c r="C949" s="6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69"/>
      <c r="C950" s="6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69"/>
      <c r="C951" s="6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69"/>
      <c r="C952" s="6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69"/>
      <c r="C953" s="6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69"/>
      <c r="C954" s="6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69"/>
      <c r="C955" s="6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69"/>
      <c r="C956" s="6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69"/>
      <c r="C957" s="6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69"/>
      <c r="C958" s="6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69"/>
      <c r="C959" s="6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69"/>
      <c r="C960" s="6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69"/>
      <c r="C961" s="6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69"/>
      <c r="C962" s="6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69"/>
      <c r="C963" s="6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69"/>
      <c r="C964" s="6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69"/>
      <c r="C965" s="6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69"/>
      <c r="C966" s="6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69"/>
      <c r="C967" s="6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69"/>
      <c r="C968" s="6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69"/>
      <c r="C969" s="6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69"/>
      <c r="C970" s="6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69"/>
      <c r="C971" s="6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69"/>
      <c r="C972" s="6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69"/>
      <c r="C973" s="6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69"/>
      <c r="C974" s="6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69"/>
      <c r="C975" s="6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69"/>
      <c r="C976" s="6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69"/>
      <c r="C977" s="6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69"/>
      <c r="C978" s="6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69"/>
      <c r="C979" s="6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69"/>
      <c r="C980" s="6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69"/>
      <c r="C981" s="6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69"/>
      <c r="C982" s="6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69"/>
      <c r="C983" s="6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69"/>
      <c r="C984" s="6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69"/>
      <c r="C985" s="6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69"/>
      <c r="C986" s="6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69"/>
      <c r="C987" s="6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69"/>
      <c r="C988" s="6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69"/>
      <c r="C989" s="6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69"/>
      <c r="C990" s="6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69"/>
      <c r="C991" s="6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69"/>
      <c r="C992" s="6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69"/>
      <c r="C993" s="6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69"/>
      <c r="C994" s="6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69"/>
      <c r="C995" s="6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69"/>
      <c r="C996" s="6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69"/>
      <c r="C997" s="6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69"/>
      <c r="C998" s="6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69"/>
      <c r="C999" s="6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69"/>
      <c r="C1000" s="69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69"/>
      <c r="C1001" s="69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69"/>
      <c r="C1002" s="69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69"/>
      <c r="C1003" s="69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69"/>
      <c r="C1004" s="69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69"/>
      <c r="C1005" s="69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69"/>
      <c r="C1006" s="69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69"/>
      <c r="C1007" s="69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69"/>
      <c r="C1008" s="69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69"/>
      <c r="C1009" s="69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69"/>
      <c r="C1010" s="69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69"/>
      <c r="C1011" s="69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69"/>
      <c r="C1012" s="69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69"/>
      <c r="C1013" s="69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69"/>
      <c r="C1014" s="69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69"/>
      <c r="C1015" s="69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69"/>
      <c r="C1016" s="69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69"/>
      <c r="C1017" s="69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69"/>
      <c r="C1018" s="69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69"/>
      <c r="C1019" s="69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69"/>
      <c r="C1020" s="69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69"/>
      <c r="C1021" s="69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69"/>
      <c r="C1022" s="69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69"/>
      <c r="C1023" s="69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</sheetData>
  <mergeCells count="5">
    <mergeCell ref="A1:I1"/>
    <mergeCell ref="D2:F2"/>
    <mergeCell ref="G2:I2"/>
    <mergeCell ref="J3:K3"/>
    <mergeCell ref="A59:E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3" max="3" width="36.38"/>
  </cols>
  <sheetData>
    <row r="1">
      <c r="A1" s="1" t="s">
        <v>51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7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>
        <v>45748.0</v>
      </c>
      <c r="B5" s="33" t="s">
        <v>52</v>
      </c>
      <c r="C5" s="33" t="s">
        <v>52</v>
      </c>
      <c r="D5" s="56">
        <v>30200.0</v>
      </c>
      <c r="E5" s="26"/>
      <c r="F5" s="34">
        <f t="shared" ref="F5:F59" si="1">F4+D5-E5</f>
        <v>30200</v>
      </c>
      <c r="G5" s="28">
        <v>4617.0</v>
      </c>
      <c r="H5" s="29"/>
      <c r="I5" s="78">
        <v>4617.0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81">
        <v>45754.0</v>
      </c>
      <c r="B6" s="33" t="s">
        <v>53</v>
      </c>
      <c r="C6" s="33" t="s">
        <v>54</v>
      </c>
      <c r="D6" s="56">
        <v>1028000.0</v>
      </c>
      <c r="E6" s="56">
        <v>950000.0</v>
      </c>
      <c r="F6" s="34">
        <f t="shared" si="1"/>
        <v>108200</v>
      </c>
      <c r="G6" s="38"/>
      <c r="H6" s="50">
        <v>800.0</v>
      </c>
      <c r="I6" s="36">
        <f t="shared" ref="I6:I59" si="2">I5+G6-H6</f>
        <v>3817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81">
        <v>45754.0</v>
      </c>
      <c r="B7" s="33" t="s">
        <v>55</v>
      </c>
      <c r="C7" s="48" t="s">
        <v>56</v>
      </c>
      <c r="D7" s="56">
        <v>260000.0</v>
      </c>
      <c r="E7" s="56">
        <v>295000.0</v>
      </c>
      <c r="F7" s="34">
        <f t="shared" si="1"/>
        <v>73200</v>
      </c>
      <c r="G7" s="29"/>
      <c r="H7" s="28">
        <v>200.0</v>
      </c>
      <c r="I7" s="36">
        <f t="shared" si="2"/>
        <v>3617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81">
        <v>45754.0</v>
      </c>
      <c r="B8" s="33" t="s">
        <v>55</v>
      </c>
      <c r="C8" s="33" t="s">
        <v>57</v>
      </c>
      <c r="D8" s="83"/>
      <c r="E8" s="56">
        <v>20000.0</v>
      </c>
      <c r="F8" s="34">
        <f t="shared" si="1"/>
        <v>53200</v>
      </c>
      <c r="G8" s="29"/>
      <c r="H8" s="38"/>
      <c r="I8" s="36">
        <f t="shared" si="2"/>
        <v>3617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81">
        <v>45754.0</v>
      </c>
      <c r="B9" s="33" t="s">
        <v>58</v>
      </c>
      <c r="C9" s="48" t="s">
        <v>59</v>
      </c>
      <c r="D9" s="26"/>
      <c r="E9" s="84"/>
      <c r="F9" s="34">
        <f t="shared" si="1"/>
        <v>53200</v>
      </c>
      <c r="G9" s="29"/>
      <c r="H9" s="50">
        <v>1000.0</v>
      </c>
      <c r="I9" s="36">
        <f t="shared" si="2"/>
        <v>2617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81">
        <v>45755.0</v>
      </c>
      <c r="B10" s="33" t="s">
        <v>60</v>
      </c>
      <c r="C10" s="33" t="s">
        <v>61</v>
      </c>
      <c r="D10" s="26"/>
      <c r="E10" s="83"/>
      <c r="F10" s="34">
        <f t="shared" si="1"/>
        <v>53200</v>
      </c>
      <c r="G10" s="50">
        <v>3300.0</v>
      </c>
      <c r="H10" s="29"/>
      <c r="I10" s="36">
        <f t="shared" si="2"/>
        <v>5917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81">
        <v>45755.0</v>
      </c>
      <c r="B11" s="33" t="s">
        <v>60</v>
      </c>
      <c r="C11" s="33" t="s">
        <v>62</v>
      </c>
      <c r="D11" s="26"/>
      <c r="E11" s="84"/>
      <c r="F11" s="34">
        <f t="shared" si="1"/>
        <v>53200</v>
      </c>
      <c r="G11" s="50">
        <v>2000.0</v>
      </c>
      <c r="H11" s="29"/>
      <c r="I11" s="36">
        <f t="shared" si="2"/>
        <v>7917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85">
        <v>45755.0</v>
      </c>
      <c r="B12" s="43" t="s">
        <v>63</v>
      </c>
      <c r="C12" s="43" t="s">
        <v>64</v>
      </c>
      <c r="D12" s="44"/>
      <c r="E12" s="86"/>
      <c r="F12" s="34">
        <f t="shared" si="1"/>
        <v>53200</v>
      </c>
      <c r="G12" s="29"/>
      <c r="H12" s="50">
        <v>1325.0</v>
      </c>
      <c r="I12" s="36">
        <f t="shared" si="2"/>
        <v>6592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81">
        <v>45755.0</v>
      </c>
      <c r="B13" s="33" t="s">
        <v>60</v>
      </c>
      <c r="C13" s="33" t="s">
        <v>65</v>
      </c>
      <c r="D13" s="56">
        <v>351412.0</v>
      </c>
      <c r="E13" s="26"/>
      <c r="F13" s="34">
        <f t="shared" si="1"/>
        <v>404612</v>
      </c>
      <c r="G13" s="29"/>
      <c r="H13" s="38"/>
      <c r="I13" s="36">
        <f t="shared" si="2"/>
        <v>6592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81">
        <v>45756.0</v>
      </c>
      <c r="B14" s="33" t="s">
        <v>58</v>
      </c>
      <c r="C14" s="48" t="s">
        <v>66</v>
      </c>
      <c r="D14" s="26"/>
      <c r="E14" s="26"/>
      <c r="F14" s="34">
        <f t="shared" si="1"/>
        <v>404612</v>
      </c>
      <c r="G14" s="38"/>
      <c r="H14" s="50">
        <v>3000.0</v>
      </c>
      <c r="I14" s="36">
        <f t="shared" si="2"/>
        <v>3592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81">
        <v>45756.0</v>
      </c>
      <c r="B15" s="33" t="s">
        <v>63</v>
      </c>
      <c r="C15" s="48" t="s">
        <v>67</v>
      </c>
      <c r="D15" s="26"/>
      <c r="E15" s="56">
        <v>14000.0</v>
      </c>
      <c r="F15" s="34">
        <f t="shared" si="1"/>
        <v>390612</v>
      </c>
      <c r="G15" s="29"/>
      <c r="H15" s="38"/>
      <c r="I15" s="36">
        <f t="shared" si="2"/>
        <v>3592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81">
        <v>45757.0</v>
      </c>
      <c r="B16" s="33" t="s">
        <v>60</v>
      </c>
      <c r="C16" s="33" t="s">
        <v>68</v>
      </c>
      <c r="D16" s="26"/>
      <c r="E16" s="84"/>
      <c r="F16" s="34">
        <f t="shared" si="1"/>
        <v>390612</v>
      </c>
      <c r="G16" s="50">
        <v>500.0</v>
      </c>
      <c r="H16" s="29"/>
      <c r="I16" s="36">
        <f t="shared" si="2"/>
        <v>4092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9">
        <v>45757.0</v>
      </c>
      <c r="B17" s="33" t="s">
        <v>55</v>
      </c>
      <c r="C17" s="48" t="s">
        <v>69</v>
      </c>
      <c r="D17" s="26"/>
      <c r="E17" s="87">
        <v>30500.0</v>
      </c>
      <c r="F17" s="34">
        <f t="shared" si="1"/>
        <v>360112</v>
      </c>
      <c r="G17" s="29"/>
      <c r="H17" s="29"/>
      <c r="I17" s="36">
        <f t="shared" si="2"/>
        <v>4092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9">
        <v>45757.0</v>
      </c>
      <c r="B18" s="33" t="s">
        <v>55</v>
      </c>
      <c r="C18" s="48" t="s">
        <v>70</v>
      </c>
      <c r="D18" s="26"/>
      <c r="E18" s="87">
        <v>10100.0</v>
      </c>
      <c r="F18" s="34">
        <f t="shared" si="1"/>
        <v>350012</v>
      </c>
      <c r="G18" s="29"/>
      <c r="H18" s="29"/>
      <c r="I18" s="36">
        <f t="shared" si="2"/>
        <v>4092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9">
        <v>45757.0</v>
      </c>
      <c r="B19" s="33" t="s">
        <v>71</v>
      </c>
      <c r="C19" s="33" t="s">
        <v>72</v>
      </c>
      <c r="D19" s="56">
        <v>660000.0</v>
      </c>
      <c r="E19" s="87"/>
      <c r="F19" s="34">
        <f t="shared" si="1"/>
        <v>1010012</v>
      </c>
      <c r="G19" s="29"/>
      <c r="H19" s="50">
        <v>500.0</v>
      </c>
      <c r="I19" s="36">
        <f t="shared" si="2"/>
        <v>3592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9">
        <v>45757.0</v>
      </c>
      <c r="B20" s="33" t="s">
        <v>55</v>
      </c>
      <c r="C20" s="48" t="s">
        <v>73</v>
      </c>
      <c r="D20" s="26"/>
      <c r="E20" s="88">
        <v>4000.0</v>
      </c>
      <c r="F20" s="34">
        <f t="shared" si="1"/>
        <v>1006012</v>
      </c>
      <c r="G20" s="29"/>
      <c r="H20" s="29"/>
      <c r="I20" s="36">
        <f t="shared" si="2"/>
        <v>3592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9">
        <v>45757.0</v>
      </c>
      <c r="B21" s="43" t="s">
        <v>60</v>
      </c>
      <c r="C21" s="43" t="s">
        <v>74</v>
      </c>
      <c r="D21" s="44"/>
      <c r="E21" s="89"/>
      <c r="F21" s="34">
        <f t="shared" si="1"/>
        <v>1006012</v>
      </c>
      <c r="G21" s="54">
        <v>10000.0</v>
      </c>
      <c r="H21" s="54"/>
      <c r="I21" s="36">
        <f t="shared" si="2"/>
        <v>13592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9">
        <v>45757.0</v>
      </c>
      <c r="B22" s="43" t="s">
        <v>75</v>
      </c>
      <c r="C22" s="33" t="s">
        <v>76</v>
      </c>
      <c r="D22" s="26"/>
      <c r="E22" s="87">
        <v>3200.0</v>
      </c>
      <c r="F22" s="34">
        <f t="shared" si="1"/>
        <v>1002812</v>
      </c>
      <c r="G22" s="29"/>
      <c r="H22" s="29"/>
      <c r="I22" s="36">
        <f t="shared" si="2"/>
        <v>13592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9">
        <v>45757.0</v>
      </c>
      <c r="B23" s="33" t="s">
        <v>60</v>
      </c>
      <c r="C23" s="33" t="s">
        <v>77</v>
      </c>
      <c r="D23" s="56">
        <v>402560.0</v>
      </c>
      <c r="E23" s="26"/>
      <c r="F23" s="34">
        <f t="shared" si="1"/>
        <v>1405372</v>
      </c>
      <c r="G23" s="29"/>
      <c r="H23" s="38"/>
      <c r="I23" s="36">
        <f t="shared" si="2"/>
        <v>13592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9">
        <v>45758.0</v>
      </c>
      <c r="B24" s="33" t="s">
        <v>71</v>
      </c>
      <c r="C24" s="48" t="s">
        <v>78</v>
      </c>
      <c r="D24" s="56">
        <v>670000.0</v>
      </c>
      <c r="E24" s="87">
        <v>1137635.0</v>
      </c>
      <c r="F24" s="34">
        <f t="shared" si="1"/>
        <v>937737</v>
      </c>
      <c r="G24" s="29"/>
      <c r="H24" s="50">
        <v>500.0</v>
      </c>
      <c r="I24" s="36">
        <f t="shared" si="2"/>
        <v>13092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9">
        <v>45758.0</v>
      </c>
      <c r="B25" s="33" t="s">
        <v>71</v>
      </c>
      <c r="C25" s="33" t="s">
        <v>79</v>
      </c>
      <c r="D25" s="26"/>
      <c r="E25" s="87">
        <v>950000.0</v>
      </c>
      <c r="F25" s="34">
        <f t="shared" si="1"/>
        <v>-12263</v>
      </c>
      <c r="G25" s="29"/>
      <c r="H25" s="29"/>
      <c r="I25" s="36">
        <f t="shared" si="2"/>
        <v>13092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9">
        <v>45758.0</v>
      </c>
      <c r="B26" s="33" t="s">
        <v>55</v>
      </c>
      <c r="C26" s="33" t="s">
        <v>80</v>
      </c>
      <c r="D26" s="88">
        <v>924000.0</v>
      </c>
      <c r="E26" s="56"/>
      <c r="F26" s="34">
        <f t="shared" si="1"/>
        <v>911737</v>
      </c>
      <c r="G26" s="29"/>
      <c r="H26" s="38"/>
      <c r="I26" s="36">
        <f t="shared" si="2"/>
        <v>13092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9">
        <v>45758.0</v>
      </c>
      <c r="B27" s="33" t="s">
        <v>53</v>
      </c>
      <c r="C27" s="48" t="s">
        <v>81</v>
      </c>
      <c r="D27" s="56"/>
      <c r="E27" s="87">
        <v>600000.0</v>
      </c>
      <c r="F27" s="34">
        <f t="shared" si="1"/>
        <v>311737</v>
      </c>
      <c r="G27" s="29"/>
      <c r="H27" s="50">
        <v>700.0</v>
      </c>
      <c r="I27" s="36">
        <f t="shared" si="2"/>
        <v>12392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9">
        <v>45758.0</v>
      </c>
      <c r="B28" s="33" t="s">
        <v>75</v>
      </c>
      <c r="C28" s="33" t="s">
        <v>82</v>
      </c>
      <c r="D28" s="26"/>
      <c r="E28" s="87">
        <v>30000.0</v>
      </c>
      <c r="F28" s="34">
        <f t="shared" si="1"/>
        <v>281737</v>
      </c>
      <c r="G28" s="50"/>
      <c r="H28" s="50"/>
      <c r="I28" s="36">
        <f t="shared" si="2"/>
        <v>12392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9">
        <v>45758.0</v>
      </c>
      <c r="B29" s="33" t="s">
        <v>83</v>
      </c>
      <c r="C29" s="33" t="s">
        <v>84</v>
      </c>
      <c r="D29" s="26"/>
      <c r="E29" s="83"/>
      <c r="F29" s="34">
        <f t="shared" si="1"/>
        <v>281737</v>
      </c>
      <c r="G29" s="29"/>
      <c r="H29" s="50">
        <v>400.0</v>
      </c>
      <c r="I29" s="36">
        <f t="shared" si="2"/>
        <v>11992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9">
        <v>45758.0</v>
      </c>
      <c r="B30" s="33" t="s">
        <v>71</v>
      </c>
      <c r="C30" s="33" t="s">
        <v>85</v>
      </c>
      <c r="D30" s="83"/>
      <c r="E30" s="87">
        <v>150000.0</v>
      </c>
      <c r="F30" s="34">
        <f t="shared" si="1"/>
        <v>131737</v>
      </c>
      <c r="G30" s="29"/>
      <c r="H30" s="29"/>
      <c r="I30" s="36">
        <f t="shared" si="2"/>
        <v>11992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0">
        <v>45762.0</v>
      </c>
      <c r="B31" s="33" t="s">
        <v>63</v>
      </c>
      <c r="C31" s="33" t="s">
        <v>86</v>
      </c>
      <c r="D31" s="83"/>
      <c r="E31" s="56">
        <v>80000.0</v>
      </c>
      <c r="F31" s="34">
        <f t="shared" si="1"/>
        <v>51737</v>
      </c>
      <c r="G31" s="29"/>
      <c r="H31" s="38"/>
      <c r="I31" s="36">
        <f t="shared" si="2"/>
        <v>11992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0">
        <v>45762.0</v>
      </c>
      <c r="B32" s="33" t="s">
        <v>55</v>
      </c>
      <c r="C32" s="48" t="s">
        <v>87</v>
      </c>
      <c r="D32" s="26"/>
      <c r="E32" s="88">
        <v>50000.0</v>
      </c>
      <c r="F32" s="34">
        <f t="shared" si="1"/>
        <v>1737</v>
      </c>
      <c r="G32" s="29"/>
      <c r="H32" s="29"/>
      <c r="I32" s="36">
        <f t="shared" si="2"/>
        <v>11992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9">
        <v>45763.0</v>
      </c>
      <c r="B33" s="33" t="s">
        <v>88</v>
      </c>
      <c r="C33" s="43" t="s">
        <v>89</v>
      </c>
      <c r="D33" s="83"/>
      <c r="E33" s="26"/>
      <c r="F33" s="34">
        <f t="shared" si="1"/>
        <v>1737</v>
      </c>
      <c r="G33" s="29"/>
      <c r="H33" s="28">
        <v>600.0</v>
      </c>
      <c r="I33" s="36">
        <f t="shared" si="2"/>
        <v>11392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0">
        <v>45763.0</v>
      </c>
      <c r="B34" s="33" t="s">
        <v>88</v>
      </c>
      <c r="C34" s="43" t="s">
        <v>90</v>
      </c>
      <c r="D34" s="26"/>
      <c r="E34" s="84"/>
      <c r="F34" s="34">
        <f t="shared" si="1"/>
        <v>1737</v>
      </c>
      <c r="G34" s="29"/>
      <c r="H34" s="50">
        <v>1237.0</v>
      </c>
      <c r="I34" s="36">
        <f t="shared" si="2"/>
        <v>10155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45768.0</v>
      </c>
      <c r="B35" s="43" t="s">
        <v>91</v>
      </c>
      <c r="C35" s="43" t="s">
        <v>92</v>
      </c>
      <c r="D35" s="44"/>
      <c r="E35" s="89"/>
      <c r="F35" s="92">
        <f t="shared" si="1"/>
        <v>1737</v>
      </c>
      <c r="G35" s="54">
        <v>6000.0</v>
      </c>
      <c r="H35" s="54"/>
      <c r="I35" s="93">
        <f t="shared" si="2"/>
        <v>16155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45768.0</v>
      </c>
      <c r="B36" s="33" t="s">
        <v>88</v>
      </c>
      <c r="C36" s="33" t="s">
        <v>93</v>
      </c>
      <c r="D36" s="26"/>
      <c r="E36" s="84"/>
      <c r="F36" s="34">
        <f t="shared" si="1"/>
        <v>1737</v>
      </c>
      <c r="G36" s="50"/>
      <c r="H36" s="50">
        <v>950.0</v>
      </c>
      <c r="I36" s="36">
        <f t="shared" si="2"/>
        <v>15205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49">
        <v>45769.0</v>
      </c>
      <c r="B37" s="33" t="s">
        <v>71</v>
      </c>
      <c r="C37" s="33" t="s">
        <v>94</v>
      </c>
      <c r="D37" s="26"/>
      <c r="E37" s="26"/>
      <c r="F37" s="34">
        <f t="shared" si="1"/>
        <v>1737</v>
      </c>
      <c r="G37" s="38"/>
      <c r="H37" s="50">
        <v>1600.0</v>
      </c>
      <c r="I37" s="36">
        <f t="shared" si="2"/>
        <v>13605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5">
        <v>45770.0</v>
      </c>
      <c r="B38" s="33" t="s">
        <v>91</v>
      </c>
      <c r="C38" s="33" t="s">
        <v>95</v>
      </c>
      <c r="D38" s="26"/>
      <c r="E38" s="26"/>
      <c r="F38" s="34">
        <f t="shared" si="1"/>
        <v>1737</v>
      </c>
      <c r="G38" s="50">
        <v>3000.0</v>
      </c>
      <c r="H38" s="38"/>
      <c r="I38" s="36">
        <f t="shared" si="2"/>
        <v>16605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5">
        <v>45771.0</v>
      </c>
      <c r="B39" s="33" t="s">
        <v>91</v>
      </c>
      <c r="C39" s="33" t="s">
        <v>96</v>
      </c>
      <c r="D39" s="26"/>
      <c r="E39" s="84"/>
      <c r="F39" s="34">
        <f t="shared" si="1"/>
        <v>1737</v>
      </c>
      <c r="G39" s="50">
        <v>3300.0</v>
      </c>
      <c r="H39" s="29"/>
      <c r="I39" s="36">
        <f t="shared" si="2"/>
        <v>19905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6">
        <v>45771.0</v>
      </c>
      <c r="B40" s="43" t="s">
        <v>88</v>
      </c>
      <c r="C40" s="43" t="s">
        <v>97</v>
      </c>
      <c r="D40" s="89"/>
      <c r="E40" s="44"/>
      <c r="F40" s="92">
        <f t="shared" si="1"/>
        <v>1737</v>
      </c>
      <c r="G40" s="53"/>
      <c r="H40" s="97">
        <v>450.0</v>
      </c>
      <c r="I40" s="98">
        <f t="shared" si="2"/>
        <v>19455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96">
        <v>45771.0</v>
      </c>
      <c r="B41" s="33" t="s">
        <v>55</v>
      </c>
      <c r="C41" s="99" t="s">
        <v>98</v>
      </c>
      <c r="D41" s="88">
        <v>237000.0</v>
      </c>
      <c r="E41" s="56"/>
      <c r="F41" s="34">
        <f t="shared" si="1"/>
        <v>238737</v>
      </c>
      <c r="G41" s="29"/>
      <c r="H41" s="28">
        <v>200.0</v>
      </c>
      <c r="I41" s="36">
        <f t="shared" si="2"/>
        <v>19255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6">
        <v>45771.0</v>
      </c>
      <c r="B42" s="33" t="s">
        <v>75</v>
      </c>
      <c r="C42" s="33" t="s">
        <v>99</v>
      </c>
      <c r="D42" s="26"/>
      <c r="E42" s="88">
        <v>8000.0</v>
      </c>
      <c r="F42" s="34">
        <f t="shared" si="1"/>
        <v>230737</v>
      </c>
      <c r="G42" s="29"/>
      <c r="H42" s="29"/>
      <c r="I42" s="36">
        <f t="shared" si="2"/>
        <v>19255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6">
        <v>45771.0</v>
      </c>
      <c r="B43" s="33" t="s">
        <v>75</v>
      </c>
      <c r="C43" s="48" t="s">
        <v>100</v>
      </c>
      <c r="D43" s="26"/>
      <c r="E43" s="88">
        <v>160000.0</v>
      </c>
      <c r="F43" s="34">
        <f t="shared" si="1"/>
        <v>70737</v>
      </c>
      <c r="G43" s="29"/>
      <c r="H43" s="29"/>
      <c r="I43" s="36">
        <f t="shared" si="2"/>
        <v>19255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5">
        <v>45775.0</v>
      </c>
      <c r="B44" s="33" t="s">
        <v>75</v>
      </c>
      <c r="C44" s="33" t="s">
        <v>101</v>
      </c>
      <c r="D44" s="26"/>
      <c r="E44" s="56">
        <v>2000.0</v>
      </c>
      <c r="F44" s="34">
        <f t="shared" si="1"/>
        <v>68737</v>
      </c>
      <c r="G44" s="29"/>
      <c r="H44" s="29"/>
      <c r="I44" s="36">
        <f t="shared" si="2"/>
        <v>19255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5">
        <v>45775.0</v>
      </c>
      <c r="B45" s="33" t="s">
        <v>75</v>
      </c>
      <c r="C45" s="33" t="s">
        <v>102</v>
      </c>
      <c r="D45" s="26"/>
      <c r="E45" s="56">
        <v>8000.0</v>
      </c>
      <c r="F45" s="34">
        <f t="shared" si="1"/>
        <v>60737</v>
      </c>
      <c r="G45" s="29"/>
      <c r="H45" s="29"/>
      <c r="I45" s="36">
        <f t="shared" si="2"/>
        <v>19255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5">
        <v>45777.0</v>
      </c>
      <c r="B46" s="33" t="s">
        <v>91</v>
      </c>
      <c r="C46" s="33" t="s">
        <v>103</v>
      </c>
      <c r="D46" s="56">
        <v>3360000.0</v>
      </c>
      <c r="E46" s="56"/>
      <c r="F46" s="34">
        <f t="shared" si="1"/>
        <v>3420737</v>
      </c>
      <c r="G46" s="29"/>
      <c r="H46" s="29"/>
      <c r="I46" s="36">
        <f t="shared" si="2"/>
        <v>19255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5">
        <v>45777.0</v>
      </c>
      <c r="B47" s="33" t="s">
        <v>53</v>
      </c>
      <c r="C47" s="33" t="s">
        <v>104</v>
      </c>
      <c r="D47" s="26"/>
      <c r="E47" s="56">
        <v>240000.0</v>
      </c>
      <c r="F47" s="34">
        <f t="shared" si="1"/>
        <v>3180737</v>
      </c>
      <c r="G47" s="50">
        <v>200.0</v>
      </c>
      <c r="H47" s="50"/>
      <c r="I47" s="36">
        <f t="shared" si="2"/>
        <v>19455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5">
        <v>45777.0</v>
      </c>
      <c r="B48" s="33" t="s">
        <v>88</v>
      </c>
      <c r="C48" s="33" t="s">
        <v>105</v>
      </c>
      <c r="D48" s="26"/>
      <c r="E48" s="56">
        <v>15600.0</v>
      </c>
      <c r="F48" s="34">
        <f t="shared" si="1"/>
        <v>3165137</v>
      </c>
      <c r="G48" s="29"/>
      <c r="H48" s="50">
        <v>500.0</v>
      </c>
      <c r="I48" s="36">
        <f t="shared" si="2"/>
        <v>18955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5">
        <v>45777.0</v>
      </c>
      <c r="B49" s="33" t="s">
        <v>75</v>
      </c>
      <c r="C49" s="48" t="s">
        <v>106</v>
      </c>
      <c r="D49" s="26"/>
      <c r="E49" s="56">
        <v>20000.0</v>
      </c>
      <c r="F49" s="34">
        <f t="shared" si="1"/>
        <v>3145137</v>
      </c>
      <c r="G49" s="29"/>
      <c r="H49" s="29"/>
      <c r="I49" s="36">
        <f t="shared" si="2"/>
        <v>18955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5">
        <v>45777.0</v>
      </c>
      <c r="B50" s="33" t="s">
        <v>88</v>
      </c>
      <c r="C50" s="33" t="s">
        <v>107</v>
      </c>
      <c r="D50" s="26"/>
      <c r="E50" s="56">
        <v>574750.0</v>
      </c>
      <c r="F50" s="34">
        <f t="shared" si="1"/>
        <v>2570387</v>
      </c>
      <c r="G50" s="29"/>
      <c r="H50" s="29"/>
      <c r="I50" s="36">
        <f t="shared" si="2"/>
        <v>18955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5">
        <v>45777.0</v>
      </c>
      <c r="B51" s="33" t="s">
        <v>75</v>
      </c>
      <c r="C51" s="48" t="s">
        <v>108</v>
      </c>
      <c r="D51" s="26"/>
      <c r="E51" s="56">
        <v>24000.0</v>
      </c>
      <c r="F51" s="34">
        <f t="shared" si="1"/>
        <v>2546387</v>
      </c>
      <c r="G51" s="29"/>
      <c r="H51" s="29"/>
      <c r="I51" s="36">
        <f t="shared" si="2"/>
        <v>18955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5">
        <v>45777.0</v>
      </c>
      <c r="B52" s="33" t="s">
        <v>91</v>
      </c>
      <c r="C52" s="33" t="s">
        <v>109</v>
      </c>
      <c r="D52" s="56">
        <v>2299000.0</v>
      </c>
      <c r="E52" s="26"/>
      <c r="F52" s="34">
        <f t="shared" si="1"/>
        <v>4845387</v>
      </c>
      <c r="G52" s="29"/>
      <c r="H52" s="29"/>
      <c r="I52" s="36">
        <f t="shared" si="2"/>
        <v>18955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5">
        <v>45777.0</v>
      </c>
      <c r="B53" s="33" t="s">
        <v>91</v>
      </c>
      <c r="C53" s="33" t="s">
        <v>110</v>
      </c>
      <c r="D53" s="56">
        <v>338800.0</v>
      </c>
      <c r="E53" s="26"/>
      <c r="F53" s="34">
        <f t="shared" si="1"/>
        <v>5184187</v>
      </c>
      <c r="G53" s="29"/>
      <c r="H53" s="29"/>
      <c r="I53" s="36">
        <f t="shared" si="2"/>
        <v>18955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00"/>
      <c r="B54" s="25"/>
      <c r="C54" s="25"/>
      <c r="D54" s="26"/>
      <c r="E54" s="26"/>
      <c r="F54" s="34">
        <f t="shared" si="1"/>
        <v>5184187</v>
      </c>
      <c r="G54" s="29"/>
      <c r="H54" s="29"/>
      <c r="I54" s="36">
        <f t="shared" si="2"/>
        <v>18955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00"/>
      <c r="B55" s="25"/>
      <c r="C55" s="25"/>
      <c r="D55" s="26"/>
      <c r="E55" s="26"/>
      <c r="F55" s="34">
        <f t="shared" si="1"/>
        <v>5184187</v>
      </c>
      <c r="G55" s="29"/>
      <c r="H55" s="29"/>
      <c r="I55" s="36">
        <f t="shared" si="2"/>
        <v>18955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100"/>
      <c r="B56" s="25"/>
      <c r="C56" s="25"/>
      <c r="D56" s="26"/>
      <c r="E56" s="26"/>
      <c r="F56" s="34">
        <f t="shared" si="1"/>
        <v>5184187</v>
      </c>
      <c r="G56" s="29"/>
      <c r="H56" s="29"/>
      <c r="I56" s="36">
        <f t="shared" si="2"/>
        <v>18955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00"/>
      <c r="B57" s="25"/>
      <c r="C57" s="25"/>
      <c r="D57" s="26"/>
      <c r="E57" s="26"/>
      <c r="F57" s="34">
        <f t="shared" si="1"/>
        <v>5184187</v>
      </c>
      <c r="G57" s="29"/>
      <c r="H57" s="29"/>
      <c r="I57" s="36">
        <f t="shared" si="2"/>
        <v>18955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100"/>
      <c r="B58" s="25"/>
      <c r="C58" s="25"/>
      <c r="D58" s="26"/>
      <c r="E58" s="26"/>
      <c r="F58" s="34">
        <f t="shared" si="1"/>
        <v>5184187</v>
      </c>
      <c r="G58" s="29"/>
      <c r="H58" s="29"/>
      <c r="I58" s="36">
        <f t="shared" si="2"/>
        <v>18955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65" t="s">
        <v>49</v>
      </c>
      <c r="B59" s="2"/>
      <c r="C59" s="2"/>
      <c r="D59" s="2"/>
      <c r="E59" s="7"/>
      <c r="F59" s="66">
        <f t="shared" si="1"/>
        <v>5184187</v>
      </c>
      <c r="G59" s="19"/>
      <c r="H59" s="19"/>
      <c r="I59" s="67">
        <f t="shared" si="2"/>
        <v>18955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00"/>
      <c r="B60" s="25"/>
      <c r="C60" s="25"/>
      <c r="D60" s="26"/>
      <c r="E60" s="26"/>
      <c r="F60" s="27"/>
      <c r="G60" s="29"/>
      <c r="H60" s="29"/>
      <c r="I60" s="68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00"/>
      <c r="B61" s="25"/>
      <c r="C61" s="25"/>
      <c r="D61" s="26"/>
      <c r="E61" s="26"/>
      <c r="F61" s="27"/>
      <c r="G61" s="29"/>
      <c r="H61" s="41" t="s">
        <v>50</v>
      </c>
      <c r="I61" s="6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00"/>
      <c r="B62" s="25"/>
      <c r="C62" s="25"/>
      <c r="D62" s="26"/>
      <c r="E62" s="26"/>
      <c r="F62" s="27"/>
      <c r="G62" s="29"/>
      <c r="H62" s="29"/>
      <c r="I62" s="68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00"/>
      <c r="B63" s="25"/>
      <c r="C63" s="25"/>
      <c r="D63" s="26"/>
      <c r="E63" s="29"/>
      <c r="F63" s="27"/>
      <c r="G63" s="29"/>
      <c r="H63" s="29"/>
      <c r="I63" s="68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00"/>
      <c r="B64" s="25"/>
      <c r="C64" s="25"/>
      <c r="D64" s="26"/>
      <c r="E64" s="29"/>
      <c r="F64" s="27"/>
      <c r="G64" s="29"/>
      <c r="H64" s="29"/>
      <c r="I64" s="68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00"/>
      <c r="B65" s="25"/>
      <c r="C65" s="25"/>
      <c r="D65" s="26"/>
      <c r="E65" s="29"/>
      <c r="F65" s="27"/>
      <c r="G65" s="29"/>
      <c r="H65" s="29"/>
      <c r="I65" s="6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00"/>
      <c r="B66" s="25"/>
      <c r="C66" s="25"/>
      <c r="D66" s="26"/>
      <c r="E66" s="26"/>
      <c r="F66" s="27"/>
      <c r="G66" s="29"/>
      <c r="H66" s="29"/>
      <c r="I66" s="68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00"/>
      <c r="B67" s="25"/>
      <c r="C67" s="25"/>
      <c r="D67" s="26"/>
      <c r="E67" s="26"/>
      <c r="F67" s="27"/>
      <c r="G67" s="29"/>
      <c r="H67" s="29"/>
      <c r="I67" s="6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00"/>
      <c r="B68" s="25"/>
      <c r="C68" s="25"/>
      <c r="D68" s="26"/>
      <c r="E68" s="26"/>
      <c r="F68" s="27"/>
      <c r="G68" s="29"/>
      <c r="H68" s="29"/>
      <c r="I68" s="68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69"/>
      <c r="B69" s="69"/>
      <c r="C69" s="6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69"/>
      <c r="B70" s="69"/>
      <c r="C70" s="6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69"/>
      <c r="B71" s="69"/>
      <c r="C71" s="6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69"/>
      <c r="B72" s="69"/>
      <c r="C72" s="6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69"/>
      <c r="B73" s="69"/>
      <c r="C73" s="6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69"/>
      <c r="B74" s="69"/>
      <c r="C74" s="6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69"/>
      <c r="B75" s="69"/>
      <c r="C75" s="6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69"/>
      <c r="B76" s="69"/>
      <c r="C76" s="6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69"/>
      <c r="B77" s="69"/>
      <c r="C77" s="6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69"/>
      <c r="B78" s="69"/>
      <c r="C78" s="6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69"/>
      <c r="B79" s="69"/>
      <c r="C79" s="6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69"/>
      <c r="B80" s="69"/>
      <c r="C80" s="6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69"/>
      <c r="B81" s="69"/>
      <c r="C81" s="6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69"/>
      <c r="B82" s="69"/>
      <c r="C82" s="6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6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6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6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6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6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6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6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6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6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6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6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6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6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6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6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6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6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6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6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6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6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6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6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6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6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6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6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6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6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6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6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6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6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6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6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6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6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6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6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6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6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6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6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6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6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6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6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6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6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6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6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6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6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6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6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6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6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6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6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6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6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6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6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6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6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6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6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6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6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6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6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6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6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6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6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6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6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6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6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6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6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6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6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6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6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6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6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6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6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6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6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6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6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6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6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6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6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6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6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6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6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6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6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6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6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6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6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6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6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6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6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6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6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6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6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6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6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6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6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6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6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6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6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6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6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6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6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6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6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6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6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6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6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6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6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6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6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6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6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6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6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6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6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6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6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6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6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6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6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6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6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6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6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6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6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6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6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6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6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6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6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6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6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6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6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6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6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6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6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6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6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6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6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6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6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6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6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6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6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6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6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6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6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6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6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6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6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6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6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6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6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6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6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6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6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6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6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6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6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6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6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6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6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6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6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6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6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6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6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6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6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6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6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6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6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6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6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6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6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6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6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6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6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6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6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6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6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6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6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6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6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6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6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6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6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6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6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6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6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6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6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6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6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6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6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6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6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6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6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6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6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6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6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6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6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6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6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6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6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6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6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6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6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6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6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6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6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6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6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6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6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6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6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6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6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6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6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6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6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6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6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6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6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6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6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6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6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6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6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6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6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6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6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6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6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6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6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6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6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6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6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6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6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6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6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6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6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6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6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6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6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6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6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6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6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6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6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6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6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6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6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6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6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6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6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6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6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6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6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6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6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6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6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6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6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6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6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6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6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6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6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6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6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6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6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6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6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6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6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6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6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6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6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6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6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6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6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6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6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6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6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6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6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6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6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6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6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6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6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6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6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6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6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6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6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6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6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6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6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6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6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6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6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6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6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6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6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6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6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6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6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6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6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6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6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6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6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6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6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6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6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6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6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6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6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6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6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6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6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6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6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6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6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6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6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6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6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6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6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6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6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6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6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6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6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6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6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6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6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6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6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6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6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6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6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6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6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6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6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6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6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6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6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6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6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6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6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6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6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6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6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6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6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6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6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6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6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6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6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6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6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6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6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6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6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6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6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6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6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6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6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6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6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6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6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6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6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6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6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6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6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6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6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6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6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6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6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6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6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6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6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6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6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6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6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6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6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6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6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6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6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6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6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6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6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6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6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6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6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6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6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6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6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6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6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6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6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6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6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6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6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6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6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6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6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6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6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6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6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6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6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6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6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6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6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6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6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6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6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6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6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6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6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6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6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6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6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6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6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6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6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6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6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6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6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6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6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6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6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6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6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6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6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6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6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6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6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6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6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6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6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6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6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6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6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6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6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6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6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6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6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6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6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6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6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6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6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6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6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6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6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6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6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6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6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6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6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6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6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6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6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6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6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6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6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6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6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6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6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6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6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6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6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6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6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6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6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6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6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6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6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6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6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6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6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6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6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6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6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6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6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6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6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6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6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6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6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6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6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6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6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6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6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6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6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6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6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6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6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6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6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6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6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6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6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6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6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6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6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6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6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6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6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6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6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6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6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6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6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6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6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6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6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6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6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6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6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6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6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6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6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6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6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6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6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6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6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6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6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6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6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6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6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6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6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6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6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6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6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6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6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6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6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6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6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6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6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6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6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6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6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6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6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6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6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6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6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6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6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6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6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6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6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6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6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6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6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6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6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6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6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6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6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6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6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6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6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6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6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6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6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6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6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6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6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6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6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6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6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6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6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6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6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6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6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6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6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6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6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6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6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6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6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6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6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6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6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6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6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6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6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6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6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6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6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6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6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6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6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6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6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6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6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6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6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6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6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6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6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6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6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6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6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6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6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6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6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6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6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6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6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6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6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6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6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6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6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6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6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6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6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6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6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6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6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6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6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6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6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6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6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6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6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6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6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6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6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6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6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6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6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6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6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6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6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6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6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6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6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6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6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6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6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6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6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6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6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6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6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6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6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6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6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6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6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6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6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6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6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6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6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6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6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6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6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6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6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6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6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6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6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6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6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6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6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6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6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6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6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6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6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6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6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6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6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6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6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6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6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6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6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6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6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6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6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6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6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6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6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6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6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6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6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6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6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6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6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6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6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6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6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6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6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6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6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6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6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69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69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69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69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69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69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69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69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69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69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69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69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69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69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69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69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69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69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69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69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69"/>
      <c r="B1020" s="69"/>
      <c r="C1020" s="69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69"/>
      <c r="B1021" s="69"/>
      <c r="C1021" s="69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69"/>
      <c r="B1022" s="69"/>
      <c r="C1022" s="69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69"/>
      <c r="B1023" s="69"/>
      <c r="C1023" s="69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</sheetData>
  <mergeCells count="5">
    <mergeCell ref="A1:I1"/>
    <mergeCell ref="D2:F2"/>
    <mergeCell ref="G2:I2"/>
    <mergeCell ref="J3:K3"/>
    <mergeCell ref="A59:E59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3" max="3" width="36.38"/>
  </cols>
  <sheetData>
    <row r="1">
      <c r="A1" s="1" t="s">
        <v>111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7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>
        <v>45778.0</v>
      </c>
      <c r="B5" s="33" t="s">
        <v>52</v>
      </c>
      <c r="C5" s="43" t="s">
        <v>52</v>
      </c>
      <c r="D5" s="56">
        <v>5184187.0</v>
      </c>
      <c r="E5" s="26"/>
      <c r="F5" s="34">
        <f t="shared" ref="F5:F82" si="1">F4+D5-E5</f>
        <v>5184187</v>
      </c>
      <c r="G5" s="28">
        <v>18955.0</v>
      </c>
      <c r="H5" s="29"/>
      <c r="I5" s="78">
        <v>18955.0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2">
        <v>45778.0</v>
      </c>
      <c r="B6" s="33" t="s">
        <v>112</v>
      </c>
      <c r="C6" s="48" t="s">
        <v>113</v>
      </c>
      <c r="D6" s="56"/>
      <c r="E6" s="56">
        <v>1762500.0</v>
      </c>
      <c r="F6" s="34">
        <f t="shared" si="1"/>
        <v>3421687</v>
      </c>
      <c r="G6" s="38"/>
      <c r="H6" s="50"/>
      <c r="I6" s="36">
        <f t="shared" ref="I6:I56" si="2">I5+G6-H6</f>
        <v>18955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81">
        <v>45782.0</v>
      </c>
      <c r="B7" s="33" t="s">
        <v>75</v>
      </c>
      <c r="C7" s="48" t="s">
        <v>114</v>
      </c>
      <c r="D7" s="56"/>
      <c r="E7" s="56">
        <v>590000.0</v>
      </c>
      <c r="F7" s="34">
        <f t="shared" si="1"/>
        <v>2831687</v>
      </c>
      <c r="G7" s="29"/>
      <c r="H7" s="28"/>
      <c r="I7" s="36">
        <f t="shared" si="2"/>
        <v>18955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81">
        <v>45782.0</v>
      </c>
      <c r="B8" s="33" t="s">
        <v>112</v>
      </c>
      <c r="C8" s="48" t="s">
        <v>115</v>
      </c>
      <c r="D8" s="83"/>
      <c r="E8" s="56">
        <v>1121000.0</v>
      </c>
      <c r="F8" s="34">
        <f t="shared" si="1"/>
        <v>1710687</v>
      </c>
      <c r="G8" s="29"/>
      <c r="H8" s="28">
        <v>800.0</v>
      </c>
      <c r="I8" s="36">
        <f t="shared" si="2"/>
        <v>18155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81">
        <v>45782.0</v>
      </c>
      <c r="B9" s="33" t="s">
        <v>112</v>
      </c>
      <c r="C9" s="48" t="s">
        <v>116</v>
      </c>
      <c r="D9" s="26"/>
      <c r="E9" s="87">
        <v>1121000.0</v>
      </c>
      <c r="F9" s="34">
        <f t="shared" si="1"/>
        <v>589687</v>
      </c>
      <c r="G9" s="29"/>
      <c r="H9" s="50">
        <v>800.0</v>
      </c>
      <c r="I9" s="36">
        <f t="shared" si="2"/>
        <v>17355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81">
        <v>45782.0</v>
      </c>
      <c r="B10" s="33" t="s">
        <v>75</v>
      </c>
      <c r="C10" s="48" t="s">
        <v>117</v>
      </c>
      <c r="D10" s="26"/>
      <c r="E10" s="88">
        <v>140000.0</v>
      </c>
      <c r="F10" s="34">
        <f t="shared" si="1"/>
        <v>449687</v>
      </c>
      <c r="G10" s="50"/>
      <c r="H10" s="29"/>
      <c r="I10" s="36">
        <f t="shared" si="2"/>
        <v>17355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81">
        <v>45783.0</v>
      </c>
      <c r="B11" s="33" t="s">
        <v>112</v>
      </c>
      <c r="C11" s="48" t="s">
        <v>118</v>
      </c>
      <c r="D11" s="26"/>
      <c r="E11" s="87">
        <v>360000.0</v>
      </c>
      <c r="F11" s="34">
        <f t="shared" si="1"/>
        <v>89687</v>
      </c>
      <c r="G11" s="50"/>
      <c r="H11" s="29"/>
      <c r="I11" s="36">
        <f t="shared" si="2"/>
        <v>17355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81">
        <v>45783.0</v>
      </c>
      <c r="B12" s="43" t="s">
        <v>91</v>
      </c>
      <c r="C12" s="43" t="s">
        <v>119</v>
      </c>
      <c r="D12" s="44"/>
      <c r="E12" s="86"/>
      <c r="F12" s="34">
        <f t="shared" si="1"/>
        <v>89687</v>
      </c>
      <c r="G12" s="50">
        <v>4200.0</v>
      </c>
      <c r="H12" s="50"/>
      <c r="I12" s="36">
        <f t="shared" si="2"/>
        <v>21555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81">
        <v>45783.0</v>
      </c>
      <c r="B13" s="33" t="s">
        <v>88</v>
      </c>
      <c r="C13" s="43" t="s">
        <v>120</v>
      </c>
      <c r="D13" s="56"/>
      <c r="E13" s="26"/>
      <c r="F13" s="34">
        <f t="shared" si="1"/>
        <v>89687</v>
      </c>
      <c r="G13" s="29"/>
      <c r="H13" s="28">
        <v>1802.0</v>
      </c>
      <c r="I13" s="36">
        <f t="shared" si="2"/>
        <v>19753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81">
        <v>45783.0</v>
      </c>
      <c r="B14" s="33" t="s">
        <v>75</v>
      </c>
      <c r="C14" s="48" t="s">
        <v>121</v>
      </c>
      <c r="D14" s="26"/>
      <c r="E14" s="56">
        <v>40000.0</v>
      </c>
      <c r="F14" s="34">
        <f t="shared" si="1"/>
        <v>49687</v>
      </c>
      <c r="G14" s="38"/>
      <c r="H14" s="50"/>
      <c r="I14" s="36">
        <f t="shared" si="2"/>
        <v>19753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81">
        <v>45783.0</v>
      </c>
      <c r="B15" s="33" t="s">
        <v>83</v>
      </c>
      <c r="C15" s="43" t="s">
        <v>122</v>
      </c>
      <c r="D15" s="26"/>
      <c r="E15" s="56"/>
      <c r="F15" s="34">
        <f t="shared" si="1"/>
        <v>49687</v>
      </c>
      <c r="G15" s="50">
        <v>500.0</v>
      </c>
      <c r="H15" s="38"/>
      <c r="I15" s="36">
        <f t="shared" si="2"/>
        <v>20253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81">
        <v>45783.0</v>
      </c>
      <c r="B16" s="33" t="s">
        <v>83</v>
      </c>
      <c r="C16" s="43" t="s">
        <v>123</v>
      </c>
      <c r="D16" s="56"/>
      <c r="E16" s="87"/>
      <c r="F16" s="34">
        <f t="shared" si="1"/>
        <v>49687</v>
      </c>
      <c r="G16" s="50">
        <v>300.0</v>
      </c>
      <c r="H16" s="50"/>
      <c r="I16" s="36">
        <f t="shared" si="2"/>
        <v>20553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9">
        <v>45784.0</v>
      </c>
      <c r="B17" s="33" t="s">
        <v>83</v>
      </c>
      <c r="C17" s="43" t="s">
        <v>124</v>
      </c>
      <c r="D17" s="26"/>
      <c r="E17" s="87"/>
      <c r="F17" s="34">
        <f t="shared" si="1"/>
        <v>49687</v>
      </c>
      <c r="G17" s="50">
        <v>300.0</v>
      </c>
      <c r="H17" s="50"/>
      <c r="I17" s="36">
        <f t="shared" si="2"/>
        <v>20853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9">
        <v>45784.0</v>
      </c>
      <c r="B18" s="33" t="s">
        <v>83</v>
      </c>
      <c r="C18" s="43" t="s">
        <v>125</v>
      </c>
      <c r="D18" s="56">
        <v>444375.0</v>
      </c>
      <c r="E18" s="87"/>
      <c r="F18" s="34">
        <f t="shared" si="1"/>
        <v>494062</v>
      </c>
      <c r="G18" s="29"/>
      <c r="H18" s="50"/>
      <c r="I18" s="36">
        <f t="shared" si="2"/>
        <v>20853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9">
        <v>45784.0</v>
      </c>
      <c r="B19" s="33" t="s">
        <v>91</v>
      </c>
      <c r="C19" s="43" t="s">
        <v>126</v>
      </c>
      <c r="D19" s="56"/>
      <c r="E19" s="87"/>
      <c r="F19" s="34">
        <f t="shared" si="1"/>
        <v>494062</v>
      </c>
      <c r="G19" s="50">
        <v>11800.0</v>
      </c>
      <c r="H19" s="50"/>
      <c r="I19" s="36">
        <f t="shared" si="2"/>
        <v>32653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9">
        <v>45784.0</v>
      </c>
      <c r="B20" s="33" t="s">
        <v>83</v>
      </c>
      <c r="C20" s="101" t="s">
        <v>127</v>
      </c>
      <c r="D20" s="26"/>
      <c r="E20" s="88"/>
      <c r="F20" s="34">
        <f t="shared" si="1"/>
        <v>494062</v>
      </c>
      <c r="G20" s="50">
        <v>300.0</v>
      </c>
      <c r="H20" s="50"/>
      <c r="I20" s="36">
        <f t="shared" si="2"/>
        <v>32953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9">
        <v>45784.0</v>
      </c>
      <c r="B21" s="43" t="s">
        <v>75</v>
      </c>
      <c r="C21" s="48" t="s">
        <v>128</v>
      </c>
      <c r="D21" s="44"/>
      <c r="E21" s="102">
        <v>50000.0</v>
      </c>
      <c r="F21" s="34">
        <f t="shared" si="1"/>
        <v>444062</v>
      </c>
      <c r="G21" s="54"/>
      <c r="H21" s="54"/>
      <c r="I21" s="36">
        <f t="shared" si="2"/>
        <v>32953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9">
        <v>45784.0</v>
      </c>
      <c r="B22" s="43" t="s">
        <v>75</v>
      </c>
      <c r="C22" s="48" t="s">
        <v>129</v>
      </c>
      <c r="D22" s="26"/>
      <c r="E22" s="87">
        <v>17280.0</v>
      </c>
      <c r="F22" s="34">
        <f t="shared" si="1"/>
        <v>426782</v>
      </c>
      <c r="G22" s="29"/>
      <c r="H22" s="29"/>
      <c r="I22" s="36">
        <f t="shared" si="2"/>
        <v>32953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9">
        <v>45784.0</v>
      </c>
      <c r="B23" s="33" t="s">
        <v>112</v>
      </c>
      <c r="C23" s="48" t="s">
        <v>118</v>
      </c>
      <c r="D23" s="56"/>
      <c r="E23" s="56">
        <v>240000.0</v>
      </c>
      <c r="F23" s="34">
        <f t="shared" si="1"/>
        <v>186782</v>
      </c>
      <c r="G23" s="29"/>
      <c r="H23" s="38"/>
      <c r="I23" s="36">
        <f t="shared" si="2"/>
        <v>32953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9">
        <v>45784.0</v>
      </c>
      <c r="B24" s="33" t="s">
        <v>75</v>
      </c>
      <c r="C24" s="43" t="s">
        <v>130</v>
      </c>
      <c r="D24" s="56"/>
      <c r="E24" s="87">
        <v>9000.0</v>
      </c>
      <c r="F24" s="34">
        <f t="shared" si="1"/>
        <v>177782</v>
      </c>
      <c r="G24" s="29"/>
      <c r="H24" s="50"/>
      <c r="I24" s="36">
        <f t="shared" si="2"/>
        <v>32953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9">
        <v>45785.0</v>
      </c>
      <c r="B25" s="33" t="s">
        <v>91</v>
      </c>
      <c r="C25" s="43" t="s">
        <v>131</v>
      </c>
      <c r="D25" s="56"/>
      <c r="E25" s="87"/>
      <c r="F25" s="34">
        <f t="shared" si="1"/>
        <v>177782</v>
      </c>
      <c r="G25" s="50">
        <v>2500.0</v>
      </c>
      <c r="H25" s="29"/>
      <c r="I25" s="36">
        <f t="shared" si="2"/>
        <v>35453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9">
        <v>45785.0</v>
      </c>
      <c r="B26" s="33" t="s">
        <v>53</v>
      </c>
      <c r="C26" s="43" t="s">
        <v>132</v>
      </c>
      <c r="D26" s="56">
        <v>1702500.0</v>
      </c>
      <c r="E26" s="56"/>
      <c r="F26" s="34">
        <f t="shared" si="1"/>
        <v>1880282</v>
      </c>
      <c r="G26" s="29"/>
      <c r="H26" s="28">
        <v>1500.0</v>
      </c>
      <c r="I26" s="36">
        <f t="shared" si="2"/>
        <v>33953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9">
        <v>45785.0</v>
      </c>
      <c r="B27" s="33" t="s">
        <v>75</v>
      </c>
      <c r="C27" s="43" t="s">
        <v>133</v>
      </c>
      <c r="D27" s="56"/>
      <c r="E27" s="87">
        <v>5000.0</v>
      </c>
      <c r="F27" s="34">
        <f t="shared" si="1"/>
        <v>1875282</v>
      </c>
      <c r="G27" s="29"/>
      <c r="H27" s="50"/>
      <c r="I27" s="36">
        <f t="shared" si="2"/>
        <v>33953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9">
        <v>45785.0</v>
      </c>
      <c r="B28" s="33" t="s">
        <v>88</v>
      </c>
      <c r="C28" s="43" t="s">
        <v>134</v>
      </c>
      <c r="D28" s="26"/>
      <c r="E28" s="87">
        <v>85125.0</v>
      </c>
      <c r="F28" s="34">
        <f t="shared" si="1"/>
        <v>1790157</v>
      </c>
      <c r="G28" s="50"/>
      <c r="H28" s="50">
        <v>400.0</v>
      </c>
      <c r="I28" s="36">
        <f t="shared" si="2"/>
        <v>33553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9">
        <v>45786.0</v>
      </c>
      <c r="B29" s="33" t="s">
        <v>112</v>
      </c>
      <c r="C29" s="48" t="s">
        <v>135</v>
      </c>
      <c r="D29" s="26"/>
      <c r="E29" s="88">
        <v>400000.0</v>
      </c>
      <c r="F29" s="34">
        <f t="shared" si="1"/>
        <v>1390157</v>
      </c>
      <c r="G29" s="29"/>
      <c r="H29" s="50"/>
      <c r="I29" s="36">
        <f t="shared" si="2"/>
        <v>33553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9">
        <v>45786.0</v>
      </c>
      <c r="B30" s="33" t="s">
        <v>83</v>
      </c>
      <c r="C30" s="43" t="s">
        <v>136</v>
      </c>
      <c r="D30" s="83"/>
      <c r="E30" s="87"/>
      <c r="F30" s="34">
        <f t="shared" si="1"/>
        <v>1390157</v>
      </c>
      <c r="G30" s="50">
        <v>450.0</v>
      </c>
      <c r="H30" s="29"/>
      <c r="I30" s="36">
        <f t="shared" si="2"/>
        <v>34003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49">
        <v>45786.0</v>
      </c>
      <c r="B31" s="33" t="s">
        <v>75</v>
      </c>
      <c r="C31" s="43" t="s">
        <v>137</v>
      </c>
      <c r="D31" s="83"/>
      <c r="E31" s="56">
        <v>50000.0</v>
      </c>
      <c r="F31" s="34">
        <f t="shared" si="1"/>
        <v>1340157</v>
      </c>
      <c r="G31" s="29"/>
      <c r="H31" s="38"/>
      <c r="I31" s="36">
        <f t="shared" si="2"/>
        <v>34003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9">
        <v>45786.0</v>
      </c>
      <c r="B32" s="33" t="s">
        <v>75</v>
      </c>
      <c r="C32" s="43" t="s">
        <v>138</v>
      </c>
      <c r="D32" s="26"/>
      <c r="E32" s="88">
        <v>300000.0</v>
      </c>
      <c r="F32" s="34">
        <f t="shared" si="1"/>
        <v>1040157</v>
      </c>
      <c r="G32" s="29"/>
      <c r="H32" s="29"/>
      <c r="I32" s="36">
        <f t="shared" si="2"/>
        <v>34003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9">
        <v>45786.0</v>
      </c>
      <c r="B33" s="33" t="s">
        <v>75</v>
      </c>
      <c r="C33" s="48" t="s">
        <v>139</v>
      </c>
      <c r="D33" s="83"/>
      <c r="E33" s="56">
        <v>20000.0</v>
      </c>
      <c r="F33" s="34">
        <f t="shared" si="1"/>
        <v>1020157</v>
      </c>
      <c r="G33" s="29"/>
      <c r="H33" s="28"/>
      <c r="I33" s="36">
        <f t="shared" si="2"/>
        <v>34003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49">
        <v>45786.0</v>
      </c>
      <c r="B34" s="33" t="s">
        <v>88</v>
      </c>
      <c r="C34" s="43" t="s">
        <v>140</v>
      </c>
      <c r="D34" s="26"/>
      <c r="E34" s="87">
        <v>15500.0</v>
      </c>
      <c r="F34" s="34">
        <f t="shared" si="1"/>
        <v>1004657</v>
      </c>
      <c r="G34" s="29"/>
      <c r="H34" s="50">
        <v>720.0</v>
      </c>
      <c r="I34" s="36">
        <f t="shared" si="2"/>
        <v>33283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45789.0</v>
      </c>
      <c r="B35" s="33" t="s">
        <v>88</v>
      </c>
      <c r="C35" s="43" t="s">
        <v>141</v>
      </c>
      <c r="D35" s="44"/>
      <c r="E35" s="89"/>
      <c r="F35" s="92">
        <f t="shared" si="1"/>
        <v>1004657</v>
      </c>
      <c r="G35" s="54"/>
      <c r="H35" s="54">
        <v>950.0</v>
      </c>
      <c r="I35" s="93">
        <f t="shared" si="2"/>
        <v>32333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45789.0</v>
      </c>
      <c r="B36" s="33" t="s">
        <v>83</v>
      </c>
      <c r="C36" s="43" t="s">
        <v>142</v>
      </c>
      <c r="D36" s="56">
        <v>350760.0</v>
      </c>
      <c r="E36" s="84"/>
      <c r="F36" s="34">
        <f t="shared" si="1"/>
        <v>1355417</v>
      </c>
      <c r="G36" s="50"/>
      <c r="H36" s="50"/>
      <c r="I36" s="36">
        <f t="shared" si="2"/>
        <v>32333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45789.0</v>
      </c>
      <c r="B37" s="33" t="s">
        <v>83</v>
      </c>
      <c r="C37" s="43" t="s">
        <v>143</v>
      </c>
      <c r="D37" s="26"/>
      <c r="E37" s="26"/>
      <c r="F37" s="34">
        <f t="shared" si="1"/>
        <v>1355417</v>
      </c>
      <c r="G37" s="28">
        <v>400.0</v>
      </c>
      <c r="H37" s="50"/>
      <c r="I37" s="36">
        <f t="shared" si="2"/>
        <v>32733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5">
        <v>45790.0</v>
      </c>
      <c r="B38" s="33" t="s">
        <v>75</v>
      </c>
      <c r="C38" s="48" t="s">
        <v>144</v>
      </c>
      <c r="D38" s="26"/>
      <c r="E38" s="56">
        <v>1140000.0</v>
      </c>
      <c r="F38" s="34">
        <f t="shared" si="1"/>
        <v>215417</v>
      </c>
      <c r="G38" s="50"/>
      <c r="H38" s="38"/>
      <c r="I38" s="36">
        <f t="shared" si="2"/>
        <v>32733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5">
        <v>45790.0</v>
      </c>
      <c r="B39" s="33" t="s">
        <v>83</v>
      </c>
      <c r="C39" s="43" t="s">
        <v>145</v>
      </c>
      <c r="D39" s="56">
        <v>318617.0</v>
      </c>
      <c r="E39" s="84"/>
      <c r="F39" s="34">
        <f t="shared" si="1"/>
        <v>534034</v>
      </c>
      <c r="G39" s="50"/>
      <c r="H39" s="29"/>
      <c r="I39" s="36">
        <f t="shared" si="2"/>
        <v>32733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5">
        <v>45790.0</v>
      </c>
      <c r="B40" s="33" t="s">
        <v>75</v>
      </c>
      <c r="C40" s="43" t="s">
        <v>146</v>
      </c>
      <c r="D40" s="89"/>
      <c r="E40" s="52">
        <v>130000.0</v>
      </c>
      <c r="F40" s="92">
        <f t="shared" si="1"/>
        <v>404034</v>
      </c>
      <c r="G40" s="53"/>
      <c r="H40" s="97"/>
      <c r="I40" s="98">
        <f t="shared" si="2"/>
        <v>32733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95">
        <v>45790.0</v>
      </c>
      <c r="B41" s="33" t="s">
        <v>75</v>
      </c>
      <c r="C41" s="103" t="s">
        <v>147</v>
      </c>
      <c r="D41" s="88"/>
      <c r="E41" s="56">
        <v>430000.0</v>
      </c>
      <c r="F41" s="34">
        <f t="shared" si="1"/>
        <v>-25966</v>
      </c>
      <c r="G41" s="29"/>
      <c r="H41" s="28"/>
      <c r="I41" s="36">
        <f t="shared" si="2"/>
        <v>32733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6">
        <v>45791.0</v>
      </c>
      <c r="B42" s="33" t="s">
        <v>75</v>
      </c>
      <c r="C42" s="43" t="s">
        <v>132</v>
      </c>
      <c r="D42" s="56">
        <v>904000.0</v>
      </c>
      <c r="E42" s="88"/>
      <c r="F42" s="34">
        <f t="shared" si="1"/>
        <v>878034</v>
      </c>
      <c r="G42" s="29"/>
      <c r="H42" s="50">
        <v>800.0</v>
      </c>
      <c r="I42" s="36">
        <f t="shared" si="2"/>
        <v>31933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6">
        <v>45791.0</v>
      </c>
      <c r="B43" s="33" t="s">
        <v>60</v>
      </c>
      <c r="C43" s="43" t="s">
        <v>148</v>
      </c>
      <c r="D43" s="26"/>
      <c r="E43" s="88"/>
      <c r="F43" s="34">
        <f t="shared" si="1"/>
        <v>878034</v>
      </c>
      <c r="G43" s="29"/>
      <c r="H43" s="50">
        <v>10200.0</v>
      </c>
      <c r="I43" s="36">
        <f t="shared" si="2"/>
        <v>21733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5">
        <v>45792.0</v>
      </c>
      <c r="B44" s="33" t="s">
        <v>91</v>
      </c>
      <c r="C44" s="43" t="s">
        <v>149</v>
      </c>
      <c r="D44" s="26"/>
      <c r="E44" s="56"/>
      <c r="F44" s="34">
        <f t="shared" si="1"/>
        <v>878034</v>
      </c>
      <c r="G44" s="50">
        <v>3000.0</v>
      </c>
      <c r="H44" s="29"/>
      <c r="I44" s="36">
        <f t="shared" si="2"/>
        <v>24733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5">
        <v>45796.0</v>
      </c>
      <c r="B45" s="33" t="s">
        <v>71</v>
      </c>
      <c r="C45" s="43" t="s">
        <v>150</v>
      </c>
      <c r="D45" s="26"/>
      <c r="E45" s="56">
        <v>600000.0</v>
      </c>
      <c r="F45" s="34">
        <f t="shared" si="1"/>
        <v>278034</v>
      </c>
      <c r="G45" s="29"/>
      <c r="H45" s="29"/>
      <c r="I45" s="36">
        <f t="shared" si="2"/>
        <v>24733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5">
        <v>45796.0</v>
      </c>
      <c r="B46" s="33" t="s">
        <v>55</v>
      </c>
      <c r="C46" s="48" t="s">
        <v>151</v>
      </c>
      <c r="D46" s="56"/>
      <c r="E46" s="56">
        <v>8000.0</v>
      </c>
      <c r="F46" s="34">
        <f t="shared" si="1"/>
        <v>270034</v>
      </c>
      <c r="G46" s="29"/>
      <c r="H46" s="50"/>
      <c r="I46" s="36">
        <f t="shared" si="2"/>
        <v>24733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5">
        <v>45796.0</v>
      </c>
      <c r="B47" s="33" t="s">
        <v>75</v>
      </c>
      <c r="C47" s="48" t="s">
        <v>152</v>
      </c>
      <c r="D47" s="26"/>
      <c r="E47" s="56"/>
      <c r="F47" s="34">
        <f t="shared" si="1"/>
        <v>270034</v>
      </c>
      <c r="G47" s="50"/>
      <c r="H47" s="50">
        <v>1200.0</v>
      </c>
      <c r="I47" s="36">
        <f t="shared" si="2"/>
        <v>23533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5">
        <v>45796.0</v>
      </c>
      <c r="B48" s="33" t="s">
        <v>75</v>
      </c>
      <c r="C48" s="48" t="s">
        <v>152</v>
      </c>
      <c r="D48" s="26"/>
      <c r="E48" s="56"/>
      <c r="F48" s="34">
        <f t="shared" si="1"/>
        <v>270034</v>
      </c>
      <c r="G48" s="29"/>
      <c r="H48" s="50">
        <v>2000.0</v>
      </c>
      <c r="I48" s="36">
        <f t="shared" si="2"/>
        <v>21533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5">
        <v>45796.0</v>
      </c>
      <c r="B49" s="33" t="s">
        <v>55</v>
      </c>
      <c r="C49" s="48" t="s">
        <v>153</v>
      </c>
      <c r="D49" s="26"/>
      <c r="E49" s="56">
        <v>11000.0</v>
      </c>
      <c r="F49" s="34">
        <f t="shared" si="1"/>
        <v>259034</v>
      </c>
      <c r="G49" s="29"/>
      <c r="H49" s="29"/>
      <c r="I49" s="36">
        <f t="shared" si="2"/>
        <v>21533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5">
        <v>45797.0</v>
      </c>
      <c r="B50" s="33" t="s">
        <v>55</v>
      </c>
      <c r="C50" s="48" t="s">
        <v>139</v>
      </c>
      <c r="D50" s="26"/>
      <c r="E50" s="56">
        <v>21700.0</v>
      </c>
      <c r="F50" s="34">
        <f t="shared" si="1"/>
        <v>237334</v>
      </c>
      <c r="G50" s="29"/>
      <c r="H50" s="29"/>
      <c r="I50" s="36">
        <f t="shared" si="2"/>
        <v>21533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5">
        <v>45797.0</v>
      </c>
      <c r="B51" s="33" t="s">
        <v>75</v>
      </c>
      <c r="C51" s="43" t="s">
        <v>154</v>
      </c>
      <c r="D51" s="26"/>
      <c r="E51" s="56">
        <v>9000.0</v>
      </c>
      <c r="F51" s="34">
        <f t="shared" si="1"/>
        <v>228334</v>
      </c>
      <c r="G51" s="29"/>
      <c r="H51" s="29"/>
      <c r="I51" s="36">
        <f t="shared" si="2"/>
        <v>21533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5">
        <v>45797.0</v>
      </c>
      <c r="B52" s="33" t="s">
        <v>91</v>
      </c>
      <c r="C52" s="43" t="s">
        <v>155</v>
      </c>
      <c r="D52" s="26"/>
      <c r="E52" s="26"/>
      <c r="F52" s="34">
        <f t="shared" si="1"/>
        <v>228334</v>
      </c>
      <c r="G52" s="50">
        <v>9000.0</v>
      </c>
      <c r="H52" s="29"/>
      <c r="I52" s="36">
        <f t="shared" si="2"/>
        <v>30533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5">
        <v>45798.0</v>
      </c>
      <c r="B53" s="33" t="s">
        <v>91</v>
      </c>
      <c r="C53" s="43" t="s">
        <v>156</v>
      </c>
      <c r="D53" s="56">
        <v>3510000.0</v>
      </c>
      <c r="E53" s="26"/>
      <c r="F53" s="34">
        <f t="shared" si="1"/>
        <v>3738334</v>
      </c>
      <c r="G53" s="29"/>
      <c r="H53" s="29"/>
      <c r="I53" s="36">
        <f t="shared" si="2"/>
        <v>30533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5">
        <v>45798.0</v>
      </c>
      <c r="B54" s="33" t="s">
        <v>91</v>
      </c>
      <c r="C54" s="43" t="s">
        <v>157</v>
      </c>
      <c r="D54" s="56"/>
      <c r="E54" s="26"/>
      <c r="F54" s="34">
        <f t="shared" si="1"/>
        <v>3738334</v>
      </c>
      <c r="G54" s="50">
        <v>3000.0</v>
      </c>
      <c r="H54" s="29"/>
      <c r="I54" s="36">
        <f t="shared" si="2"/>
        <v>33533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5">
        <v>45798.0</v>
      </c>
      <c r="B55" s="33" t="s">
        <v>75</v>
      </c>
      <c r="C55" s="48" t="s">
        <v>158</v>
      </c>
      <c r="D55" s="26"/>
      <c r="E55" s="56">
        <v>2000000.0</v>
      </c>
      <c r="F55" s="34">
        <f t="shared" si="1"/>
        <v>1738334</v>
      </c>
      <c r="G55" s="29"/>
      <c r="H55" s="29"/>
      <c r="I55" s="36">
        <f t="shared" si="2"/>
        <v>33533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5">
        <v>45799.0</v>
      </c>
      <c r="B56" s="33" t="s">
        <v>91</v>
      </c>
      <c r="C56" s="43" t="s">
        <v>159</v>
      </c>
      <c r="D56" s="26"/>
      <c r="E56" s="56"/>
      <c r="F56" s="34">
        <f t="shared" si="1"/>
        <v>1738334</v>
      </c>
      <c r="G56" s="50">
        <v>6000.0</v>
      </c>
      <c r="H56" s="29"/>
      <c r="I56" s="36">
        <f t="shared" si="2"/>
        <v>39533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5">
        <v>45799.0</v>
      </c>
      <c r="B57" s="33" t="s">
        <v>91</v>
      </c>
      <c r="C57" s="43" t="s">
        <v>160</v>
      </c>
      <c r="D57" s="26"/>
      <c r="E57" s="56"/>
      <c r="F57" s="34">
        <f t="shared" si="1"/>
        <v>1738334</v>
      </c>
      <c r="G57" s="50">
        <v>5000.0</v>
      </c>
      <c r="H57" s="41" t="s">
        <v>50</v>
      </c>
      <c r="I57" s="78">
        <v>44533.0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5">
        <v>45799.0</v>
      </c>
      <c r="B58" s="33" t="s">
        <v>88</v>
      </c>
      <c r="C58" s="43" t="s">
        <v>161</v>
      </c>
      <c r="D58" s="26"/>
      <c r="E58" s="56"/>
      <c r="F58" s="34">
        <f t="shared" si="1"/>
        <v>1738334</v>
      </c>
      <c r="G58" s="50"/>
      <c r="H58" s="50">
        <v>2500.0</v>
      </c>
      <c r="I58" s="36">
        <f t="shared" ref="I58:I82" si="3">I57+G58-H58</f>
        <v>42033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5">
        <v>45800.0</v>
      </c>
      <c r="B59" s="33" t="s">
        <v>88</v>
      </c>
      <c r="C59" s="43" t="s">
        <v>162</v>
      </c>
      <c r="D59" s="56"/>
      <c r="E59" s="29"/>
      <c r="F59" s="34">
        <f t="shared" si="1"/>
        <v>1738334</v>
      </c>
      <c r="G59" s="50"/>
      <c r="H59" s="50">
        <v>770.0</v>
      </c>
      <c r="I59" s="36">
        <f t="shared" si="3"/>
        <v>41263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5">
        <v>45799.0</v>
      </c>
      <c r="B60" s="33" t="s">
        <v>91</v>
      </c>
      <c r="C60" s="43" t="s">
        <v>163</v>
      </c>
      <c r="D60" s="26"/>
      <c r="E60" s="29"/>
      <c r="F60" s="34">
        <f t="shared" si="1"/>
        <v>1738334</v>
      </c>
      <c r="G60" s="50">
        <v>5000.0</v>
      </c>
      <c r="H60" s="29"/>
      <c r="I60" s="36">
        <f t="shared" si="3"/>
        <v>46263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5">
        <v>45799.0</v>
      </c>
      <c r="B61" s="33" t="s">
        <v>88</v>
      </c>
      <c r="C61" s="43" t="s">
        <v>164</v>
      </c>
      <c r="D61" s="26"/>
      <c r="E61" s="29"/>
      <c r="F61" s="34">
        <f t="shared" si="1"/>
        <v>1738334</v>
      </c>
      <c r="G61" s="50"/>
      <c r="H61" s="50">
        <v>475.0</v>
      </c>
      <c r="I61" s="36">
        <f t="shared" si="3"/>
        <v>45788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5">
        <v>45799.0</v>
      </c>
      <c r="B62" s="33" t="s">
        <v>88</v>
      </c>
      <c r="C62" s="43" t="s">
        <v>162</v>
      </c>
      <c r="D62" s="26"/>
      <c r="E62" s="26"/>
      <c r="F62" s="34">
        <f t="shared" si="1"/>
        <v>1738334</v>
      </c>
      <c r="G62" s="29"/>
      <c r="H62" s="50">
        <v>570.0</v>
      </c>
      <c r="I62" s="36">
        <f t="shared" si="3"/>
        <v>45218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5">
        <v>45799.0</v>
      </c>
      <c r="B63" s="33" t="s">
        <v>91</v>
      </c>
      <c r="C63" s="43" t="s">
        <v>165</v>
      </c>
      <c r="D63" s="26"/>
      <c r="E63" s="26"/>
      <c r="F63" s="34">
        <f t="shared" si="1"/>
        <v>1738334</v>
      </c>
      <c r="G63" s="50">
        <v>9952.0</v>
      </c>
      <c r="H63" s="29"/>
      <c r="I63" s="36">
        <f t="shared" si="3"/>
        <v>55170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5">
        <v>45803.0</v>
      </c>
      <c r="B64" s="33" t="s">
        <v>88</v>
      </c>
      <c r="C64" s="43" t="s">
        <v>166</v>
      </c>
      <c r="D64" s="26"/>
      <c r="E64" s="26"/>
      <c r="F64" s="34">
        <f t="shared" si="1"/>
        <v>1738334</v>
      </c>
      <c r="G64" s="38"/>
      <c r="H64" s="50">
        <v>1425.0</v>
      </c>
      <c r="I64" s="36">
        <f t="shared" si="3"/>
        <v>53745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5">
        <v>45803.0</v>
      </c>
      <c r="B65" s="33" t="s">
        <v>88</v>
      </c>
      <c r="C65" s="43" t="s">
        <v>165</v>
      </c>
      <c r="D65" s="26"/>
      <c r="E65" s="56">
        <v>8260.0</v>
      </c>
      <c r="F65" s="34">
        <f t="shared" si="1"/>
        <v>1730074</v>
      </c>
      <c r="G65" s="28"/>
      <c r="H65" s="50">
        <v>590.0</v>
      </c>
      <c r="I65" s="36">
        <f t="shared" si="3"/>
        <v>53155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5">
        <v>45804.0</v>
      </c>
      <c r="B66" s="33" t="s">
        <v>88</v>
      </c>
      <c r="C66" s="43" t="s">
        <v>167</v>
      </c>
      <c r="D66" s="26"/>
      <c r="E66" s="26"/>
      <c r="F66" s="34">
        <f t="shared" si="1"/>
        <v>1730074</v>
      </c>
      <c r="G66" s="38"/>
      <c r="H66" s="50">
        <v>475.0</v>
      </c>
      <c r="I66" s="36">
        <f t="shared" si="3"/>
        <v>52680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5">
        <v>45804.0</v>
      </c>
      <c r="B67" s="33" t="s">
        <v>75</v>
      </c>
      <c r="C67" s="48" t="s">
        <v>168</v>
      </c>
      <c r="D67" s="26"/>
      <c r="E67" s="56">
        <v>15000.0</v>
      </c>
      <c r="F67" s="34">
        <f t="shared" si="1"/>
        <v>1715074</v>
      </c>
      <c r="G67" s="38"/>
      <c r="H67" s="29"/>
      <c r="I67" s="36">
        <f t="shared" si="3"/>
        <v>52680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5">
        <v>45805.0</v>
      </c>
      <c r="B68" s="33" t="s">
        <v>91</v>
      </c>
      <c r="C68" s="43" t="s">
        <v>169</v>
      </c>
      <c r="D68" s="56">
        <v>3894000.0</v>
      </c>
      <c r="E68" s="26"/>
      <c r="F68" s="34">
        <f t="shared" si="1"/>
        <v>5609074</v>
      </c>
      <c r="G68" s="38"/>
      <c r="H68" s="29"/>
      <c r="I68" s="36">
        <f t="shared" si="3"/>
        <v>52680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5">
        <v>45807.0</v>
      </c>
      <c r="B69" s="33" t="s">
        <v>75</v>
      </c>
      <c r="C69" s="48" t="s">
        <v>170</v>
      </c>
      <c r="D69" s="26"/>
      <c r="E69" s="56">
        <v>165000.0</v>
      </c>
      <c r="F69" s="34">
        <f t="shared" si="1"/>
        <v>5444074</v>
      </c>
      <c r="G69" s="29"/>
      <c r="H69" s="29"/>
      <c r="I69" s="36">
        <f t="shared" si="3"/>
        <v>52680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5">
        <v>45807.0</v>
      </c>
      <c r="B70" s="33" t="s">
        <v>58</v>
      </c>
      <c r="C70" s="43" t="s">
        <v>171</v>
      </c>
      <c r="D70" s="26"/>
      <c r="E70" s="56">
        <v>350000.0</v>
      </c>
      <c r="F70" s="34">
        <f t="shared" si="1"/>
        <v>5094074</v>
      </c>
      <c r="G70" s="29"/>
      <c r="H70" s="29"/>
      <c r="I70" s="36">
        <f t="shared" si="3"/>
        <v>52680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5">
        <v>45807.0</v>
      </c>
      <c r="B71" s="33" t="s">
        <v>58</v>
      </c>
      <c r="C71" s="43" t="s">
        <v>172</v>
      </c>
      <c r="D71" s="26"/>
      <c r="E71" s="26"/>
      <c r="F71" s="34">
        <f t="shared" si="1"/>
        <v>5094074</v>
      </c>
      <c r="G71" s="29"/>
      <c r="H71" s="50">
        <v>300.0</v>
      </c>
      <c r="I71" s="36">
        <f t="shared" si="3"/>
        <v>52380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5">
        <v>45807.0</v>
      </c>
      <c r="B72" s="33" t="s">
        <v>88</v>
      </c>
      <c r="C72" s="43" t="s">
        <v>169</v>
      </c>
      <c r="D72" s="26"/>
      <c r="E72" s="56">
        <v>15000.0</v>
      </c>
      <c r="F72" s="34">
        <f t="shared" si="1"/>
        <v>5079074</v>
      </c>
      <c r="G72" s="29"/>
      <c r="H72" s="50">
        <v>500.0</v>
      </c>
      <c r="I72" s="36">
        <f t="shared" si="3"/>
        <v>51880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5">
        <v>45807.0</v>
      </c>
      <c r="B73" s="33" t="s">
        <v>88</v>
      </c>
      <c r="C73" s="43" t="s">
        <v>173</v>
      </c>
      <c r="D73" s="26"/>
      <c r="E73" s="56">
        <v>15000.0</v>
      </c>
      <c r="F73" s="34">
        <f t="shared" si="1"/>
        <v>5064074</v>
      </c>
      <c r="G73" s="29"/>
      <c r="H73" s="50">
        <v>500.0</v>
      </c>
      <c r="I73" s="36">
        <f t="shared" si="3"/>
        <v>51380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5">
        <v>45807.0</v>
      </c>
      <c r="B74" s="33" t="s">
        <v>75</v>
      </c>
      <c r="C74" s="48" t="s">
        <v>174</v>
      </c>
      <c r="D74" s="26"/>
      <c r="E74" s="26"/>
      <c r="F74" s="34">
        <f t="shared" si="1"/>
        <v>5064074</v>
      </c>
      <c r="G74" s="29"/>
      <c r="H74" s="50">
        <v>520.0</v>
      </c>
      <c r="I74" s="36">
        <f t="shared" si="3"/>
        <v>50860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>
        <v>45807.0</v>
      </c>
      <c r="B75" s="33" t="s">
        <v>75</v>
      </c>
      <c r="C75" s="48" t="s">
        <v>108</v>
      </c>
      <c r="D75" s="26"/>
      <c r="E75" s="56">
        <v>8000.0</v>
      </c>
      <c r="F75" s="34">
        <f t="shared" si="1"/>
        <v>5056074</v>
      </c>
      <c r="G75" s="29"/>
      <c r="H75" s="50"/>
      <c r="I75" s="36">
        <f t="shared" si="3"/>
        <v>50860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>
        <v>45807.0</v>
      </c>
      <c r="B76" s="33" t="s">
        <v>75</v>
      </c>
      <c r="C76" s="43" t="s">
        <v>175</v>
      </c>
      <c r="D76" s="26"/>
      <c r="E76" s="26"/>
      <c r="F76" s="34">
        <f t="shared" si="1"/>
        <v>5056074</v>
      </c>
      <c r="G76" s="29"/>
      <c r="H76" s="104">
        <v>40000.0</v>
      </c>
      <c r="I76" s="36">
        <f t="shared" si="3"/>
        <v>10860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>
        <v>45807.0</v>
      </c>
      <c r="B77" s="33" t="s">
        <v>91</v>
      </c>
      <c r="C77" s="43" t="s">
        <v>173</v>
      </c>
      <c r="D77" s="26"/>
      <c r="E77" s="26"/>
      <c r="F77" s="34">
        <f t="shared" si="1"/>
        <v>5056074</v>
      </c>
      <c r="G77" s="50">
        <v>3300.0</v>
      </c>
      <c r="H77" s="50"/>
      <c r="I77" s="36">
        <f t="shared" si="3"/>
        <v>14160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5">
        <v>45807.0</v>
      </c>
      <c r="B78" s="33" t="s">
        <v>91</v>
      </c>
      <c r="C78" s="43" t="s">
        <v>176</v>
      </c>
      <c r="D78" s="26"/>
      <c r="E78" s="26"/>
      <c r="F78" s="34">
        <f t="shared" si="1"/>
        <v>5056074</v>
      </c>
      <c r="G78" s="50">
        <v>350.0</v>
      </c>
      <c r="H78" s="50"/>
      <c r="I78" s="36">
        <f t="shared" si="3"/>
        <v>14510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5">
        <v>45807.0</v>
      </c>
      <c r="B79" s="33" t="s">
        <v>177</v>
      </c>
      <c r="C79" s="43" t="s">
        <v>88</v>
      </c>
      <c r="D79" s="26"/>
      <c r="E79" s="26"/>
      <c r="F79" s="34">
        <f t="shared" si="1"/>
        <v>5056074</v>
      </c>
      <c r="G79" s="29"/>
      <c r="H79" s="50">
        <v>520.0</v>
      </c>
      <c r="I79" s="36">
        <f t="shared" si="3"/>
        <v>13990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>
        <v>45807.0</v>
      </c>
      <c r="B80" s="33" t="s">
        <v>83</v>
      </c>
      <c r="C80" s="43" t="s">
        <v>178</v>
      </c>
      <c r="D80" s="26"/>
      <c r="E80" s="26"/>
      <c r="F80" s="34">
        <f t="shared" si="1"/>
        <v>5056074</v>
      </c>
      <c r="G80" s="50">
        <v>500.0</v>
      </c>
      <c r="H80" s="50"/>
      <c r="I80" s="36">
        <f t="shared" si="3"/>
        <v>14490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>
        <v>45807.0</v>
      </c>
      <c r="B81" s="33" t="s">
        <v>88</v>
      </c>
      <c r="C81" s="43" t="s">
        <v>179</v>
      </c>
      <c r="D81" s="26"/>
      <c r="E81" s="26"/>
      <c r="F81" s="34">
        <f t="shared" si="1"/>
        <v>5056074</v>
      </c>
      <c r="G81" s="29"/>
      <c r="H81" s="50">
        <v>648.0</v>
      </c>
      <c r="I81" s="36">
        <f t="shared" si="3"/>
        <v>13842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105"/>
      <c r="D82" s="26"/>
      <c r="E82" s="26"/>
      <c r="F82" s="34">
        <f t="shared" si="1"/>
        <v>5056074</v>
      </c>
      <c r="G82" s="29"/>
      <c r="H82" s="50"/>
      <c r="I82" s="36">
        <f t="shared" si="3"/>
        <v>13842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3" max="3" width="39.13"/>
  </cols>
  <sheetData>
    <row r="1">
      <c r="A1" s="1" t="s">
        <v>180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7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/>
      <c r="B5" s="33"/>
      <c r="C5" s="43" t="s">
        <v>9</v>
      </c>
      <c r="D5" s="56">
        <v>5056074.0</v>
      </c>
      <c r="E5" s="26"/>
      <c r="F5" s="34">
        <f t="shared" ref="F5:F82" si="1">F4+D5-E5</f>
        <v>5056074</v>
      </c>
      <c r="G5" s="28">
        <v>13742.0</v>
      </c>
      <c r="H5" s="29"/>
      <c r="I5" s="78">
        <v>13842.0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2">
        <v>45811.0</v>
      </c>
      <c r="B6" s="33" t="s">
        <v>83</v>
      </c>
      <c r="C6" s="43" t="s">
        <v>181</v>
      </c>
      <c r="D6" s="56">
        <v>336000.0</v>
      </c>
      <c r="E6" s="56"/>
      <c r="F6" s="34">
        <f t="shared" si="1"/>
        <v>5392074</v>
      </c>
      <c r="G6" s="38"/>
      <c r="H6" s="50"/>
      <c r="I6" s="36">
        <f t="shared" ref="I6:I82" si="2">I5+G6-H6</f>
        <v>13842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2">
        <v>45811.0</v>
      </c>
      <c r="B7" s="33" t="s">
        <v>112</v>
      </c>
      <c r="C7" s="48" t="s">
        <v>182</v>
      </c>
      <c r="D7" s="56"/>
      <c r="E7" s="56">
        <v>600000.0</v>
      </c>
      <c r="F7" s="34">
        <f t="shared" si="1"/>
        <v>4792074</v>
      </c>
      <c r="G7" s="29"/>
      <c r="H7" s="28"/>
      <c r="I7" s="36">
        <f t="shared" si="2"/>
        <v>13842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2">
        <v>45811.0</v>
      </c>
      <c r="B8" s="33" t="s">
        <v>112</v>
      </c>
      <c r="C8" s="48" t="s">
        <v>183</v>
      </c>
      <c r="D8" s="83"/>
      <c r="E8" s="56">
        <v>1000000.0</v>
      </c>
      <c r="F8" s="34">
        <f t="shared" si="1"/>
        <v>3792074</v>
      </c>
      <c r="G8" s="29"/>
      <c r="H8" s="28"/>
      <c r="I8" s="36">
        <f t="shared" si="2"/>
        <v>13842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2">
        <v>45811.0</v>
      </c>
      <c r="B9" s="33" t="s">
        <v>112</v>
      </c>
      <c r="C9" s="48" t="s">
        <v>184</v>
      </c>
      <c r="D9" s="26"/>
      <c r="E9" s="87"/>
      <c r="F9" s="34">
        <f t="shared" si="1"/>
        <v>3792074</v>
      </c>
      <c r="G9" s="29"/>
      <c r="H9" s="50">
        <v>1450.0</v>
      </c>
      <c r="I9" s="36">
        <f t="shared" si="2"/>
        <v>12392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2">
        <v>45811.0</v>
      </c>
      <c r="B10" s="33" t="s">
        <v>112</v>
      </c>
      <c r="C10" s="48" t="s">
        <v>185</v>
      </c>
      <c r="D10" s="26"/>
      <c r="E10" s="88"/>
      <c r="F10" s="34">
        <f t="shared" si="1"/>
        <v>3792074</v>
      </c>
      <c r="G10" s="50"/>
      <c r="H10" s="50">
        <v>1750.0</v>
      </c>
      <c r="I10" s="36">
        <f t="shared" si="2"/>
        <v>10642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2">
        <v>45811.0</v>
      </c>
      <c r="B11" s="33" t="s">
        <v>112</v>
      </c>
      <c r="C11" s="48" t="s">
        <v>186</v>
      </c>
      <c r="D11" s="26"/>
      <c r="E11" s="87"/>
      <c r="F11" s="34">
        <f t="shared" si="1"/>
        <v>3792074</v>
      </c>
      <c r="G11" s="50"/>
      <c r="H11" s="50">
        <v>1500.0</v>
      </c>
      <c r="I11" s="36">
        <f t="shared" si="2"/>
        <v>9142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2">
        <v>45811.0</v>
      </c>
      <c r="B12" s="43" t="s">
        <v>75</v>
      </c>
      <c r="C12" s="43" t="s">
        <v>187</v>
      </c>
      <c r="D12" s="44"/>
      <c r="E12" s="107">
        <v>331000.0</v>
      </c>
      <c r="F12" s="34">
        <f t="shared" si="1"/>
        <v>3461074</v>
      </c>
      <c r="G12" s="50"/>
      <c r="H12" s="50"/>
      <c r="I12" s="36">
        <f t="shared" si="2"/>
        <v>9142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2">
        <v>45811.0</v>
      </c>
      <c r="B13" s="33" t="s">
        <v>75</v>
      </c>
      <c r="C13" s="43" t="s">
        <v>188</v>
      </c>
      <c r="D13" s="56"/>
      <c r="E13" s="56">
        <v>928614.0</v>
      </c>
      <c r="F13" s="34">
        <f t="shared" si="1"/>
        <v>2532460</v>
      </c>
      <c r="G13" s="29"/>
      <c r="H13" s="28"/>
      <c r="I13" s="36">
        <f t="shared" si="2"/>
        <v>9142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2">
        <v>45811.0</v>
      </c>
      <c r="B14" s="33" t="s">
        <v>88</v>
      </c>
      <c r="C14" s="43" t="s">
        <v>189</v>
      </c>
      <c r="D14" s="26"/>
      <c r="E14" s="56"/>
      <c r="F14" s="34">
        <f t="shared" si="1"/>
        <v>2532460</v>
      </c>
      <c r="G14" s="38"/>
      <c r="H14" s="50">
        <v>426.0</v>
      </c>
      <c r="I14" s="36">
        <f t="shared" si="2"/>
        <v>8716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2">
        <v>45811.0</v>
      </c>
      <c r="B15" s="33" t="s">
        <v>75</v>
      </c>
      <c r="C15" s="48" t="s">
        <v>108</v>
      </c>
      <c r="D15" s="26"/>
      <c r="E15" s="56">
        <v>16000.0</v>
      </c>
      <c r="F15" s="34">
        <f t="shared" si="1"/>
        <v>2516460</v>
      </c>
      <c r="G15" s="50"/>
      <c r="H15" s="38"/>
      <c r="I15" s="36">
        <f t="shared" si="2"/>
        <v>8716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81">
        <v>45812.0</v>
      </c>
      <c r="B16" s="33" t="s">
        <v>91</v>
      </c>
      <c r="C16" s="43" t="s">
        <v>190</v>
      </c>
      <c r="D16" s="56"/>
      <c r="E16" s="87"/>
      <c r="F16" s="34">
        <f t="shared" si="1"/>
        <v>2516460</v>
      </c>
      <c r="G16" s="50">
        <v>3000.0</v>
      </c>
      <c r="H16" s="50"/>
      <c r="I16" s="36">
        <f t="shared" si="2"/>
        <v>11716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81">
        <v>45812.0</v>
      </c>
      <c r="B17" s="33" t="s">
        <v>83</v>
      </c>
      <c r="C17" s="43" t="s">
        <v>191</v>
      </c>
      <c r="D17" s="56">
        <v>293000.0</v>
      </c>
      <c r="E17" s="87"/>
      <c r="F17" s="34">
        <f t="shared" si="1"/>
        <v>2809460</v>
      </c>
      <c r="G17" s="50"/>
      <c r="H17" s="50"/>
      <c r="I17" s="36">
        <f t="shared" si="2"/>
        <v>11716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81">
        <v>45812.0</v>
      </c>
      <c r="B18" s="33" t="s">
        <v>75</v>
      </c>
      <c r="C18" s="48" t="s">
        <v>192</v>
      </c>
      <c r="D18" s="56"/>
      <c r="E18" s="87">
        <v>91000.0</v>
      </c>
      <c r="F18" s="34">
        <f t="shared" si="1"/>
        <v>2718460</v>
      </c>
      <c r="G18" s="29"/>
      <c r="H18" s="50"/>
      <c r="I18" s="36">
        <f t="shared" si="2"/>
        <v>11716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81">
        <v>45812.0</v>
      </c>
      <c r="B19" s="33" t="s">
        <v>75</v>
      </c>
      <c r="C19" s="43" t="s">
        <v>193</v>
      </c>
      <c r="D19" s="56">
        <v>350000.0</v>
      </c>
      <c r="E19" s="87"/>
      <c r="F19" s="34">
        <f t="shared" si="1"/>
        <v>3068460</v>
      </c>
      <c r="G19" s="50"/>
      <c r="H19" s="50"/>
      <c r="I19" s="36">
        <f t="shared" si="2"/>
        <v>11716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9">
        <v>45813.0</v>
      </c>
      <c r="B20" s="33" t="s">
        <v>75</v>
      </c>
      <c r="C20" s="108" t="s">
        <v>194</v>
      </c>
      <c r="D20" s="26"/>
      <c r="E20" s="88">
        <v>20000.0</v>
      </c>
      <c r="F20" s="34">
        <f t="shared" si="1"/>
        <v>3048460</v>
      </c>
      <c r="G20" s="50"/>
      <c r="H20" s="50"/>
      <c r="I20" s="36">
        <f t="shared" si="2"/>
        <v>11716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9">
        <v>45813.0</v>
      </c>
      <c r="B21" s="43" t="s">
        <v>75</v>
      </c>
      <c r="C21" s="43" t="s">
        <v>195</v>
      </c>
      <c r="D21" s="44"/>
      <c r="E21" s="102">
        <v>150000.0</v>
      </c>
      <c r="F21" s="34">
        <f t="shared" si="1"/>
        <v>2898460</v>
      </c>
      <c r="G21" s="54"/>
      <c r="H21" s="54"/>
      <c r="I21" s="36">
        <f t="shared" si="2"/>
        <v>11716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9">
        <v>45817.0</v>
      </c>
      <c r="B22" s="43" t="s">
        <v>196</v>
      </c>
      <c r="C22" s="43" t="s">
        <v>197</v>
      </c>
      <c r="D22" s="26"/>
      <c r="E22" s="87">
        <v>963000.0</v>
      </c>
      <c r="F22" s="34">
        <f t="shared" si="1"/>
        <v>1935460</v>
      </c>
      <c r="G22" s="29"/>
      <c r="H22" s="50"/>
      <c r="I22" s="36">
        <f t="shared" si="2"/>
        <v>11716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9">
        <v>45817.0</v>
      </c>
      <c r="B23" s="33" t="s">
        <v>75</v>
      </c>
      <c r="C23" s="43" t="s">
        <v>198</v>
      </c>
      <c r="D23" s="56"/>
      <c r="E23" s="56">
        <v>1137136.0</v>
      </c>
      <c r="F23" s="34">
        <f t="shared" si="1"/>
        <v>798324</v>
      </c>
      <c r="G23" s="29"/>
      <c r="H23" s="38"/>
      <c r="I23" s="36">
        <f t="shared" si="2"/>
        <v>11716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9">
        <v>45817.0</v>
      </c>
      <c r="B24" s="33" t="s">
        <v>55</v>
      </c>
      <c r="C24" s="48" t="s">
        <v>199</v>
      </c>
      <c r="D24" s="56"/>
      <c r="E24" s="87">
        <v>423500.0</v>
      </c>
      <c r="F24" s="34">
        <f t="shared" si="1"/>
        <v>374824</v>
      </c>
      <c r="G24" s="29"/>
      <c r="H24" s="50"/>
      <c r="I24" s="36">
        <f t="shared" si="2"/>
        <v>11716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9">
        <v>45817.0</v>
      </c>
      <c r="B25" s="33" t="s">
        <v>83</v>
      </c>
      <c r="C25" s="43" t="s">
        <v>200</v>
      </c>
      <c r="D25" s="56"/>
      <c r="E25" s="87"/>
      <c r="F25" s="34">
        <f t="shared" si="1"/>
        <v>374824</v>
      </c>
      <c r="G25" s="50">
        <v>520.0</v>
      </c>
      <c r="H25" s="29"/>
      <c r="I25" s="36">
        <f t="shared" si="2"/>
        <v>12236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9">
        <v>45817.0</v>
      </c>
      <c r="B26" s="33" t="s">
        <v>83</v>
      </c>
      <c r="C26" s="43" t="s">
        <v>201</v>
      </c>
      <c r="D26" s="56"/>
      <c r="E26" s="56"/>
      <c r="F26" s="34">
        <f t="shared" si="1"/>
        <v>374824</v>
      </c>
      <c r="G26" s="50">
        <v>195.0</v>
      </c>
      <c r="H26" s="28"/>
      <c r="I26" s="36">
        <f t="shared" si="2"/>
        <v>12431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9">
        <v>45818.0</v>
      </c>
      <c r="B27" s="33" t="s">
        <v>83</v>
      </c>
      <c r="C27" s="43" t="s">
        <v>202</v>
      </c>
      <c r="D27" s="87">
        <v>346250.0</v>
      </c>
      <c r="E27" s="87"/>
      <c r="F27" s="34">
        <f t="shared" si="1"/>
        <v>721074</v>
      </c>
      <c r="G27" s="29"/>
      <c r="H27" s="50"/>
      <c r="I27" s="36">
        <f t="shared" si="2"/>
        <v>12431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9">
        <v>45818.0</v>
      </c>
      <c r="B28" s="33" t="s">
        <v>83</v>
      </c>
      <c r="C28" s="43" t="s">
        <v>203</v>
      </c>
      <c r="D28" s="26"/>
      <c r="E28" s="87"/>
      <c r="F28" s="34">
        <f t="shared" si="1"/>
        <v>721074</v>
      </c>
      <c r="G28" s="50">
        <v>260.0</v>
      </c>
      <c r="H28" s="50"/>
      <c r="I28" s="36">
        <f t="shared" si="2"/>
        <v>12691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9">
        <v>45818.0</v>
      </c>
      <c r="B29" s="33" t="s">
        <v>83</v>
      </c>
      <c r="C29" s="43" t="s">
        <v>204</v>
      </c>
      <c r="D29" s="26"/>
      <c r="E29" s="88"/>
      <c r="F29" s="34">
        <f t="shared" si="1"/>
        <v>721074</v>
      </c>
      <c r="G29" s="50">
        <v>400.0</v>
      </c>
      <c r="H29" s="50"/>
      <c r="I29" s="36">
        <f t="shared" si="2"/>
        <v>13091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9">
        <v>45818.0</v>
      </c>
      <c r="B30" s="33" t="s">
        <v>75</v>
      </c>
      <c r="C30" s="48" t="s">
        <v>205</v>
      </c>
      <c r="D30" s="83"/>
      <c r="E30" s="87">
        <v>24000.0</v>
      </c>
      <c r="F30" s="34">
        <f t="shared" si="1"/>
        <v>697074</v>
      </c>
      <c r="G30" s="50"/>
      <c r="H30" s="29"/>
      <c r="I30" s="36">
        <f t="shared" si="2"/>
        <v>13091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49">
        <v>45819.0</v>
      </c>
      <c r="B31" s="33" t="s">
        <v>75</v>
      </c>
      <c r="C31" s="43" t="s">
        <v>206</v>
      </c>
      <c r="D31" s="83"/>
      <c r="E31" s="56">
        <v>19800.0</v>
      </c>
      <c r="F31" s="34">
        <f t="shared" si="1"/>
        <v>677274</v>
      </c>
      <c r="G31" s="29"/>
      <c r="H31" s="38"/>
      <c r="I31" s="36">
        <f t="shared" si="2"/>
        <v>13091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49">
        <v>45819.0</v>
      </c>
      <c r="B32" s="33" t="s">
        <v>83</v>
      </c>
      <c r="C32" s="43" t="s">
        <v>207</v>
      </c>
      <c r="D32" s="26"/>
      <c r="E32" s="88"/>
      <c r="F32" s="34">
        <f t="shared" si="1"/>
        <v>677274</v>
      </c>
      <c r="G32" s="50">
        <v>750.0</v>
      </c>
      <c r="H32" s="29"/>
      <c r="I32" s="36">
        <f t="shared" si="2"/>
        <v>13841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9">
        <v>45819.0</v>
      </c>
      <c r="B33" s="33" t="s">
        <v>83</v>
      </c>
      <c r="C33" s="43" t="s">
        <v>208</v>
      </c>
      <c r="D33" s="83"/>
      <c r="E33" s="56"/>
      <c r="F33" s="34">
        <f t="shared" si="1"/>
        <v>677274</v>
      </c>
      <c r="G33" s="50">
        <v>307.0</v>
      </c>
      <c r="H33" s="28"/>
      <c r="I33" s="36">
        <f t="shared" si="2"/>
        <v>14148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49">
        <v>45819.0</v>
      </c>
      <c r="B34" s="33" t="s">
        <v>83</v>
      </c>
      <c r="C34" s="43" t="s">
        <v>209</v>
      </c>
      <c r="D34" s="56">
        <v>2060000.0</v>
      </c>
      <c r="E34" s="87"/>
      <c r="F34" s="34">
        <f t="shared" si="1"/>
        <v>2737274</v>
      </c>
      <c r="G34" s="50"/>
      <c r="H34" s="50"/>
      <c r="I34" s="36">
        <f t="shared" si="2"/>
        <v>14148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49">
        <v>45819.0</v>
      </c>
      <c r="B35" s="33" t="s">
        <v>91</v>
      </c>
      <c r="C35" s="43" t="s">
        <v>210</v>
      </c>
      <c r="D35" s="44"/>
      <c r="E35" s="89"/>
      <c r="F35" s="92">
        <f t="shared" si="1"/>
        <v>2737274</v>
      </c>
      <c r="G35" s="54">
        <v>3500.0</v>
      </c>
      <c r="H35" s="54"/>
      <c r="I35" s="93">
        <f t="shared" si="2"/>
        <v>17648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45820.0</v>
      </c>
      <c r="B36" s="33" t="s">
        <v>83</v>
      </c>
      <c r="C36" s="43" t="s">
        <v>211</v>
      </c>
      <c r="D36" s="56">
        <v>322801.0</v>
      </c>
      <c r="E36" s="84"/>
      <c r="F36" s="34">
        <f t="shared" si="1"/>
        <v>3060075</v>
      </c>
      <c r="G36" s="50"/>
      <c r="H36" s="50"/>
      <c r="I36" s="36">
        <f t="shared" si="2"/>
        <v>17648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45820.0</v>
      </c>
      <c r="B37" s="33" t="s">
        <v>212</v>
      </c>
      <c r="C37" s="43" t="s">
        <v>213</v>
      </c>
      <c r="D37" s="56">
        <v>420000.0</v>
      </c>
      <c r="E37" s="26"/>
      <c r="F37" s="34">
        <f t="shared" si="1"/>
        <v>3480075</v>
      </c>
      <c r="G37" s="28"/>
      <c r="H37" s="50"/>
      <c r="I37" s="36">
        <f t="shared" si="2"/>
        <v>17648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1">
        <v>45820.0</v>
      </c>
      <c r="B38" s="33" t="s">
        <v>75</v>
      </c>
      <c r="C38" s="48" t="s">
        <v>214</v>
      </c>
      <c r="D38" s="26"/>
      <c r="E38" s="56">
        <v>20000.0</v>
      </c>
      <c r="F38" s="34">
        <f t="shared" si="1"/>
        <v>3460075</v>
      </c>
      <c r="G38" s="50"/>
      <c r="H38" s="38"/>
      <c r="I38" s="36">
        <f t="shared" si="2"/>
        <v>17648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1">
        <v>45820.0</v>
      </c>
      <c r="B39" s="33" t="s">
        <v>55</v>
      </c>
      <c r="C39" s="48" t="s">
        <v>215</v>
      </c>
      <c r="D39" s="56"/>
      <c r="E39" s="87">
        <v>116400.0</v>
      </c>
      <c r="F39" s="34">
        <f t="shared" si="1"/>
        <v>3343675</v>
      </c>
      <c r="G39" s="50"/>
      <c r="H39" s="29"/>
      <c r="I39" s="36">
        <f t="shared" si="2"/>
        <v>17648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5">
        <v>45821.0</v>
      </c>
      <c r="B40" s="33" t="s">
        <v>212</v>
      </c>
      <c r="C40" s="43" t="s">
        <v>216</v>
      </c>
      <c r="D40" s="89"/>
      <c r="E40" s="52">
        <v>19200.0</v>
      </c>
      <c r="F40" s="92">
        <f t="shared" si="1"/>
        <v>3324475</v>
      </c>
      <c r="G40" s="54">
        <v>150.0</v>
      </c>
      <c r="H40" s="97"/>
      <c r="I40" s="98">
        <f t="shared" si="2"/>
        <v>17798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95">
        <v>45825.0</v>
      </c>
      <c r="B41" s="33" t="s">
        <v>75</v>
      </c>
      <c r="C41" s="99" t="s">
        <v>217</v>
      </c>
      <c r="D41" s="88"/>
      <c r="E41" s="56">
        <v>24500.0</v>
      </c>
      <c r="F41" s="34">
        <f t="shared" si="1"/>
        <v>3299975</v>
      </c>
      <c r="G41" s="29"/>
      <c r="H41" s="28"/>
      <c r="I41" s="36">
        <f t="shared" si="2"/>
        <v>17798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5">
        <v>45825.0</v>
      </c>
      <c r="B42" s="33" t="s">
        <v>218</v>
      </c>
      <c r="C42" s="43" t="s">
        <v>219</v>
      </c>
      <c r="D42" s="56">
        <v>7701000.0</v>
      </c>
      <c r="E42" s="88">
        <v>7701000.0</v>
      </c>
      <c r="F42" s="34">
        <f t="shared" si="1"/>
        <v>3299975</v>
      </c>
      <c r="G42" s="29"/>
      <c r="H42" s="50">
        <v>6500.0</v>
      </c>
      <c r="I42" s="36">
        <f t="shared" si="2"/>
        <v>11298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6">
        <v>45826.0</v>
      </c>
      <c r="B43" s="33" t="s">
        <v>83</v>
      </c>
      <c r="C43" s="43" t="s">
        <v>220</v>
      </c>
      <c r="D43" s="26"/>
      <c r="E43" s="88"/>
      <c r="F43" s="34">
        <f t="shared" si="1"/>
        <v>3299975</v>
      </c>
      <c r="G43" s="50">
        <v>250.0</v>
      </c>
      <c r="H43" s="50"/>
      <c r="I43" s="36">
        <f t="shared" si="2"/>
        <v>11548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5">
        <v>45827.0</v>
      </c>
      <c r="B44" s="33" t="s">
        <v>221</v>
      </c>
      <c r="C44" s="43" t="s">
        <v>222</v>
      </c>
      <c r="D44" s="26"/>
      <c r="E44" s="56"/>
      <c r="F44" s="34">
        <f t="shared" si="1"/>
        <v>3299975</v>
      </c>
      <c r="G44" s="50">
        <v>10000.0</v>
      </c>
      <c r="H44" s="29"/>
      <c r="I44" s="36">
        <f t="shared" si="2"/>
        <v>21548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5">
        <v>45827.0</v>
      </c>
      <c r="B45" s="33" t="s">
        <v>223</v>
      </c>
      <c r="C45" s="43" t="s">
        <v>224</v>
      </c>
      <c r="D45" s="26"/>
      <c r="E45" s="56"/>
      <c r="F45" s="34">
        <f t="shared" si="1"/>
        <v>3299975</v>
      </c>
      <c r="G45" s="29"/>
      <c r="H45" s="50">
        <v>7000.0</v>
      </c>
      <c r="I45" s="36">
        <f t="shared" si="2"/>
        <v>14548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5">
        <v>45827.0</v>
      </c>
      <c r="B46" s="33" t="s">
        <v>75</v>
      </c>
      <c r="C46" s="43" t="s">
        <v>225</v>
      </c>
      <c r="D46" s="56"/>
      <c r="E46" s="56">
        <v>11000.0</v>
      </c>
      <c r="F46" s="34">
        <f t="shared" si="1"/>
        <v>3288975</v>
      </c>
      <c r="G46" s="29"/>
      <c r="H46" s="50"/>
      <c r="I46" s="36">
        <f t="shared" si="2"/>
        <v>14548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5">
        <v>45832.0</v>
      </c>
      <c r="B47" s="33" t="s">
        <v>75</v>
      </c>
      <c r="C47" s="48" t="s">
        <v>226</v>
      </c>
      <c r="D47" s="26"/>
      <c r="E47" s="56">
        <v>13800.0</v>
      </c>
      <c r="F47" s="34">
        <f t="shared" si="1"/>
        <v>3275175</v>
      </c>
      <c r="G47" s="50"/>
      <c r="H47" s="50"/>
      <c r="I47" s="36">
        <f t="shared" si="2"/>
        <v>14548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5">
        <v>45832.0</v>
      </c>
      <c r="B48" s="33" t="s">
        <v>75</v>
      </c>
      <c r="C48" s="48" t="s">
        <v>227</v>
      </c>
      <c r="D48" s="26"/>
      <c r="E48" s="56">
        <v>8000.0</v>
      </c>
      <c r="F48" s="34">
        <f t="shared" si="1"/>
        <v>3267175</v>
      </c>
      <c r="G48" s="29"/>
      <c r="H48" s="54"/>
      <c r="I48" s="36">
        <f t="shared" si="2"/>
        <v>14548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5">
        <v>45832.0</v>
      </c>
      <c r="B49" s="33" t="s">
        <v>71</v>
      </c>
      <c r="C49" s="43" t="s">
        <v>228</v>
      </c>
      <c r="D49" s="26"/>
      <c r="E49" s="56"/>
      <c r="F49" s="34">
        <f t="shared" si="1"/>
        <v>3267175</v>
      </c>
      <c r="G49" s="29"/>
      <c r="H49" s="50">
        <v>2400.0</v>
      </c>
      <c r="I49" s="36">
        <f t="shared" si="2"/>
        <v>12148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5">
        <v>46198.0</v>
      </c>
      <c r="B50" s="33" t="s">
        <v>75</v>
      </c>
      <c r="C50" s="48" t="s">
        <v>229</v>
      </c>
      <c r="D50" s="26"/>
      <c r="E50" s="56">
        <v>19000.0</v>
      </c>
      <c r="F50" s="34">
        <f t="shared" si="1"/>
        <v>3248175</v>
      </c>
      <c r="G50" s="29"/>
      <c r="H50" s="29"/>
      <c r="I50" s="36">
        <f t="shared" si="2"/>
        <v>12148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5">
        <v>45835.0</v>
      </c>
      <c r="B51" s="33" t="s">
        <v>75</v>
      </c>
      <c r="C51" s="48" t="s">
        <v>229</v>
      </c>
      <c r="D51" s="26"/>
      <c r="E51" s="56">
        <v>42600.0</v>
      </c>
      <c r="F51" s="34">
        <f t="shared" si="1"/>
        <v>3205575</v>
      </c>
      <c r="G51" s="29"/>
      <c r="H51" s="29"/>
      <c r="I51" s="36">
        <f t="shared" si="2"/>
        <v>12148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5">
        <v>45835.0</v>
      </c>
      <c r="B52" s="33" t="s">
        <v>91</v>
      </c>
      <c r="C52" s="43" t="s">
        <v>230</v>
      </c>
      <c r="D52" s="26"/>
      <c r="E52" s="26"/>
      <c r="F52" s="34">
        <f t="shared" si="1"/>
        <v>3205575</v>
      </c>
      <c r="G52" s="50">
        <v>32000.0</v>
      </c>
      <c r="H52" s="29"/>
      <c r="I52" s="36">
        <f t="shared" si="2"/>
        <v>44148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5">
        <v>45835.0</v>
      </c>
      <c r="B53" s="33" t="s">
        <v>88</v>
      </c>
      <c r="C53" s="43" t="s">
        <v>231</v>
      </c>
      <c r="D53" s="56"/>
      <c r="E53" s="26"/>
      <c r="F53" s="34">
        <f t="shared" si="1"/>
        <v>3205575</v>
      </c>
      <c r="G53" s="50"/>
      <c r="H53" s="50">
        <v>2100.0</v>
      </c>
      <c r="I53" s="36">
        <f t="shared" si="2"/>
        <v>42048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5">
        <v>45835.0</v>
      </c>
      <c r="B54" s="33" t="s">
        <v>71</v>
      </c>
      <c r="C54" s="48" t="s">
        <v>232</v>
      </c>
      <c r="D54" s="56"/>
      <c r="E54" s="56">
        <v>170000.0</v>
      </c>
      <c r="F54" s="34">
        <f t="shared" si="1"/>
        <v>3035575</v>
      </c>
      <c r="G54" s="50"/>
      <c r="H54" s="29"/>
      <c r="I54" s="36">
        <f t="shared" si="2"/>
        <v>42048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5">
        <v>45835.0</v>
      </c>
      <c r="B55" s="33" t="s">
        <v>58</v>
      </c>
      <c r="C55" s="48" t="s">
        <v>233</v>
      </c>
      <c r="D55" s="26"/>
      <c r="E55" s="56"/>
      <c r="F55" s="34">
        <f t="shared" si="1"/>
        <v>3035575</v>
      </c>
      <c r="G55" s="29"/>
      <c r="H55" s="50">
        <v>15000.0</v>
      </c>
      <c r="I55" s="36">
        <f t="shared" si="2"/>
        <v>27048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5">
        <v>45835.0</v>
      </c>
      <c r="B56" s="33" t="s">
        <v>91</v>
      </c>
      <c r="C56" s="43" t="s">
        <v>234</v>
      </c>
      <c r="D56" s="26"/>
      <c r="E56" s="56"/>
      <c r="F56" s="34">
        <f t="shared" si="1"/>
        <v>3035575</v>
      </c>
      <c r="G56" s="50">
        <v>4000.0</v>
      </c>
      <c r="H56" s="29"/>
      <c r="I56" s="36">
        <f t="shared" si="2"/>
        <v>31048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5">
        <v>45835.0</v>
      </c>
      <c r="B57" s="33" t="s">
        <v>83</v>
      </c>
      <c r="C57" s="43" t="s">
        <v>179</v>
      </c>
      <c r="D57" s="26"/>
      <c r="E57" s="56"/>
      <c r="F57" s="34">
        <f t="shared" si="1"/>
        <v>3035575</v>
      </c>
      <c r="G57" s="50">
        <v>350.0</v>
      </c>
      <c r="H57" s="41"/>
      <c r="I57" s="36">
        <f t="shared" si="2"/>
        <v>31398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5">
        <v>45835.0</v>
      </c>
      <c r="B58" s="33" t="s">
        <v>83</v>
      </c>
      <c r="C58" s="109" t="s">
        <v>235</v>
      </c>
      <c r="D58" s="26"/>
      <c r="E58" s="56"/>
      <c r="F58" s="34">
        <f t="shared" si="1"/>
        <v>3035575</v>
      </c>
      <c r="G58" s="54">
        <v>280.0</v>
      </c>
      <c r="H58" s="50"/>
      <c r="I58" s="36">
        <f t="shared" si="2"/>
        <v>31678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5">
        <v>45835.0</v>
      </c>
      <c r="B59" s="33" t="s">
        <v>83</v>
      </c>
      <c r="C59" s="43" t="s">
        <v>236</v>
      </c>
      <c r="D59" s="56"/>
      <c r="E59" s="29"/>
      <c r="F59" s="34">
        <f t="shared" si="1"/>
        <v>3035575</v>
      </c>
      <c r="G59" s="50">
        <v>450.0</v>
      </c>
      <c r="H59" s="50"/>
      <c r="I59" s="36">
        <f t="shared" si="2"/>
        <v>32128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5">
        <v>45835.0</v>
      </c>
      <c r="B60" s="33" t="s">
        <v>83</v>
      </c>
      <c r="C60" s="43" t="s">
        <v>237</v>
      </c>
      <c r="D60" s="26"/>
      <c r="E60" s="29"/>
      <c r="F60" s="34">
        <f t="shared" si="1"/>
        <v>3035575</v>
      </c>
      <c r="G60" s="50">
        <v>300.0</v>
      </c>
      <c r="H60" s="29"/>
      <c r="I60" s="36">
        <f t="shared" si="2"/>
        <v>32428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5">
        <v>45838.0</v>
      </c>
      <c r="B61" s="33" t="s">
        <v>88</v>
      </c>
      <c r="C61" s="43" t="s">
        <v>238</v>
      </c>
      <c r="D61" s="26"/>
      <c r="E61" s="29"/>
      <c r="F61" s="34">
        <f t="shared" si="1"/>
        <v>3035575</v>
      </c>
      <c r="G61" s="50"/>
      <c r="H61" s="50">
        <v>740.0</v>
      </c>
      <c r="I61" s="36">
        <f t="shared" si="2"/>
        <v>31688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5">
        <v>45838.0</v>
      </c>
      <c r="B62" s="33" t="s">
        <v>223</v>
      </c>
      <c r="C62" s="43" t="s">
        <v>239</v>
      </c>
      <c r="D62" s="26"/>
      <c r="E62" s="26"/>
      <c r="F62" s="34">
        <f t="shared" si="1"/>
        <v>3035575</v>
      </c>
      <c r="G62" s="29"/>
      <c r="H62" s="50">
        <v>100.0</v>
      </c>
      <c r="I62" s="36">
        <f t="shared" si="2"/>
        <v>31588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5"/>
      <c r="B63" s="33"/>
      <c r="C63" s="43"/>
      <c r="D63" s="26"/>
      <c r="E63" s="26"/>
      <c r="F63" s="34">
        <f t="shared" si="1"/>
        <v>3035575</v>
      </c>
      <c r="G63" s="50"/>
      <c r="H63" s="29"/>
      <c r="I63" s="36">
        <f t="shared" si="2"/>
        <v>31588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5"/>
      <c r="B64" s="33"/>
      <c r="C64" s="43"/>
      <c r="D64" s="26"/>
      <c r="E64" s="26"/>
      <c r="F64" s="34">
        <f t="shared" si="1"/>
        <v>3035575</v>
      </c>
      <c r="G64" s="38"/>
      <c r="H64" s="50"/>
      <c r="I64" s="36">
        <f t="shared" si="2"/>
        <v>31588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5"/>
      <c r="B65" s="33"/>
      <c r="C65" s="43"/>
      <c r="D65" s="26"/>
      <c r="E65" s="56"/>
      <c r="F65" s="34">
        <f t="shared" si="1"/>
        <v>3035575</v>
      </c>
      <c r="G65" s="28"/>
      <c r="H65" s="50"/>
      <c r="I65" s="36">
        <f t="shared" si="2"/>
        <v>31588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5"/>
      <c r="B66" s="33"/>
      <c r="C66" s="43"/>
      <c r="D66" s="26"/>
      <c r="E66" s="26"/>
      <c r="F66" s="34">
        <f t="shared" si="1"/>
        <v>3035575</v>
      </c>
      <c r="G66" s="38"/>
      <c r="H66" s="50"/>
      <c r="I66" s="36">
        <f t="shared" si="2"/>
        <v>31588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5"/>
      <c r="B67" s="33"/>
      <c r="C67" s="43"/>
      <c r="D67" s="26"/>
      <c r="E67" s="56"/>
      <c r="F67" s="34">
        <f t="shared" si="1"/>
        <v>3035575</v>
      </c>
      <c r="G67" s="38"/>
      <c r="H67" s="29"/>
      <c r="I67" s="36">
        <f t="shared" si="2"/>
        <v>31588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5"/>
      <c r="B68" s="33"/>
      <c r="C68" s="43"/>
      <c r="D68" s="56"/>
      <c r="E68" s="26"/>
      <c r="F68" s="34">
        <f t="shared" si="1"/>
        <v>3035575</v>
      </c>
      <c r="G68" s="38"/>
      <c r="H68" s="29"/>
      <c r="I68" s="36">
        <f t="shared" si="2"/>
        <v>31588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5"/>
      <c r="B69" s="33"/>
      <c r="C69" s="43"/>
      <c r="D69" s="26"/>
      <c r="E69" s="56"/>
      <c r="F69" s="34">
        <f t="shared" si="1"/>
        <v>3035575</v>
      </c>
      <c r="G69" s="29"/>
      <c r="H69" s="29"/>
      <c r="I69" s="36">
        <f t="shared" si="2"/>
        <v>31588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5"/>
      <c r="B70" s="33"/>
      <c r="C70" s="43"/>
      <c r="D70" s="26"/>
      <c r="E70" s="56"/>
      <c r="F70" s="34">
        <f t="shared" si="1"/>
        <v>3035575</v>
      </c>
      <c r="G70" s="29"/>
      <c r="H70" s="29"/>
      <c r="I70" s="36">
        <f t="shared" si="2"/>
        <v>31588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5"/>
      <c r="B71" s="33"/>
      <c r="C71" s="43"/>
      <c r="D71" s="26"/>
      <c r="E71" s="26"/>
      <c r="F71" s="34">
        <f t="shared" si="1"/>
        <v>3035575</v>
      </c>
      <c r="G71" s="29"/>
      <c r="H71" s="50"/>
      <c r="I71" s="36">
        <f t="shared" si="2"/>
        <v>31588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5"/>
      <c r="B72" s="33"/>
      <c r="C72" s="43"/>
      <c r="D72" s="26"/>
      <c r="E72" s="56"/>
      <c r="F72" s="34">
        <f t="shared" si="1"/>
        <v>3035575</v>
      </c>
      <c r="G72" s="29"/>
      <c r="H72" s="50"/>
      <c r="I72" s="36">
        <f t="shared" si="2"/>
        <v>31588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5"/>
      <c r="B73" s="33"/>
      <c r="C73" s="43"/>
      <c r="D73" s="26"/>
      <c r="E73" s="56"/>
      <c r="F73" s="34">
        <f t="shared" si="1"/>
        <v>3035575</v>
      </c>
      <c r="G73" s="29"/>
      <c r="H73" s="50"/>
      <c r="I73" s="36">
        <f t="shared" si="2"/>
        <v>31588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5"/>
      <c r="B74" s="33"/>
      <c r="C74" s="43"/>
      <c r="D74" s="26"/>
      <c r="E74" s="26"/>
      <c r="F74" s="34">
        <f t="shared" si="1"/>
        <v>3035575</v>
      </c>
      <c r="G74" s="29"/>
      <c r="H74" s="50"/>
      <c r="I74" s="36">
        <f t="shared" si="2"/>
        <v>31588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/>
      <c r="B75" s="33"/>
      <c r="C75" s="43"/>
      <c r="D75" s="26"/>
      <c r="E75" s="56"/>
      <c r="F75" s="34">
        <f t="shared" si="1"/>
        <v>3035575</v>
      </c>
      <c r="G75" s="29"/>
      <c r="H75" s="50"/>
      <c r="I75" s="36">
        <f t="shared" si="2"/>
        <v>31588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/>
      <c r="B76" s="33"/>
      <c r="C76" s="43"/>
      <c r="D76" s="26"/>
      <c r="E76" s="26"/>
      <c r="F76" s="34">
        <f t="shared" si="1"/>
        <v>3035575</v>
      </c>
      <c r="G76" s="29"/>
      <c r="H76" s="50"/>
      <c r="I76" s="36">
        <f t="shared" si="2"/>
        <v>31588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/>
      <c r="B77" s="33"/>
      <c r="C77" s="43"/>
      <c r="D77" s="26"/>
      <c r="E77" s="26"/>
      <c r="F77" s="34">
        <f t="shared" si="1"/>
        <v>3035575</v>
      </c>
      <c r="G77" s="50"/>
      <c r="H77" s="50"/>
      <c r="I77" s="36">
        <f t="shared" si="2"/>
        <v>31588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5"/>
      <c r="B78" s="33"/>
      <c r="C78" s="43"/>
      <c r="D78" s="26"/>
      <c r="E78" s="26"/>
      <c r="F78" s="34">
        <f t="shared" si="1"/>
        <v>3035575</v>
      </c>
      <c r="G78" s="50"/>
      <c r="H78" s="50"/>
      <c r="I78" s="36">
        <f t="shared" si="2"/>
        <v>31588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5"/>
      <c r="B79" s="33"/>
      <c r="C79" s="43"/>
      <c r="D79" s="26"/>
      <c r="E79" s="26"/>
      <c r="F79" s="34">
        <f t="shared" si="1"/>
        <v>3035575</v>
      </c>
      <c r="G79" s="29"/>
      <c r="H79" s="50"/>
      <c r="I79" s="36">
        <f t="shared" si="2"/>
        <v>31588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/>
      <c r="B80" s="33"/>
      <c r="C80" s="43"/>
      <c r="D80" s="26"/>
      <c r="E80" s="26"/>
      <c r="F80" s="34">
        <f t="shared" si="1"/>
        <v>3035575</v>
      </c>
      <c r="G80" s="50"/>
      <c r="H80" s="50"/>
      <c r="I80" s="36">
        <f t="shared" si="2"/>
        <v>31588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/>
      <c r="B81" s="33"/>
      <c r="C81" s="43"/>
      <c r="D81" s="26"/>
      <c r="E81" s="26"/>
      <c r="F81" s="34">
        <f t="shared" si="1"/>
        <v>3035575</v>
      </c>
      <c r="G81" s="29"/>
      <c r="H81" s="50"/>
      <c r="I81" s="36">
        <f t="shared" si="2"/>
        <v>31588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43"/>
      <c r="D82" s="26"/>
      <c r="E82" s="26"/>
      <c r="F82" s="34">
        <f t="shared" si="1"/>
        <v>3035575</v>
      </c>
      <c r="G82" s="29"/>
      <c r="H82" s="50"/>
      <c r="I82" s="36">
        <f t="shared" si="2"/>
        <v>31588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5.38"/>
  </cols>
  <sheetData>
    <row r="1">
      <c r="A1" s="1" t="s">
        <v>240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7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/>
      <c r="B5" s="33"/>
      <c r="C5" s="43" t="s">
        <v>9</v>
      </c>
      <c r="D5" s="56">
        <v>3035575.0</v>
      </c>
      <c r="E5" s="26"/>
      <c r="F5" s="34">
        <f t="shared" ref="F5:F82" si="1">F4+D5-E5</f>
        <v>3035575</v>
      </c>
      <c r="G5" s="28"/>
      <c r="H5" s="29"/>
      <c r="I5" s="78">
        <v>31588.0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10">
        <v>45839.0</v>
      </c>
      <c r="B6" s="43" t="s">
        <v>83</v>
      </c>
      <c r="C6" s="43" t="s">
        <v>241</v>
      </c>
      <c r="D6" s="52"/>
      <c r="E6" s="52"/>
      <c r="F6" s="34">
        <f t="shared" si="1"/>
        <v>3035575</v>
      </c>
      <c r="G6" s="28">
        <v>200.0</v>
      </c>
      <c r="H6" s="50"/>
      <c r="I6" s="36">
        <f t="shared" ref="I6:I82" si="2">I5+G6-H6</f>
        <v>31788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10">
        <v>45839.0</v>
      </c>
      <c r="B7" s="43" t="s">
        <v>58</v>
      </c>
      <c r="C7" s="48" t="s">
        <v>242</v>
      </c>
      <c r="D7" s="52"/>
      <c r="E7" s="52"/>
      <c r="F7" s="34">
        <f t="shared" si="1"/>
        <v>3035575</v>
      </c>
      <c r="G7" s="50"/>
      <c r="H7" s="28">
        <v>500.0</v>
      </c>
      <c r="I7" s="36">
        <f t="shared" si="2"/>
        <v>31288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10">
        <v>45840.0</v>
      </c>
      <c r="B8" s="43" t="s">
        <v>91</v>
      </c>
      <c r="C8" s="43" t="s">
        <v>243</v>
      </c>
      <c r="D8" s="89"/>
      <c r="E8" s="52"/>
      <c r="F8" s="34">
        <f t="shared" si="1"/>
        <v>3035575</v>
      </c>
      <c r="G8" s="50">
        <v>3500.0</v>
      </c>
      <c r="H8" s="28"/>
      <c r="I8" s="36">
        <f t="shared" si="2"/>
        <v>34788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0">
        <v>45840.0</v>
      </c>
      <c r="B9" s="43" t="s">
        <v>83</v>
      </c>
      <c r="C9" s="43" t="s">
        <v>244</v>
      </c>
      <c r="D9" s="111">
        <v>345800.0</v>
      </c>
      <c r="E9" s="111"/>
      <c r="F9" s="34">
        <f t="shared" si="1"/>
        <v>3381375</v>
      </c>
      <c r="G9" s="29"/>
      <c r="H9" s="50"/>
      <c r="I9" s="36">
        <f t="shared" si="2"/>
        <v>34788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0">
        <v>45840.0</v>
      </c>
      <c r="B10" s="43" t="s">
        <v>91</v>
      </c>
      <c r="C10" s="43" t="s">
        <v>245</v>
      </c>
      <c r="D10" s="44"/>
      <c r="E10" s="102"/>
      <c r="F10" s="34">
        <f t="shared" si="1"/>
        <v>3381375</v>
      </c>
      <c r="G10" s="50">
        <v>1500.0</v>
      </c>
      <c r="H10" s="50"/>
      <c r="I10" s="36">
        <f t="shared" si="2"/>
        <v>36288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0">
        <v>45840.0</v>
      </c>
      <c r="B11" s="43" t="s">
        <v>75</v>
      </c>
      <c r="C11" s="43" t="s">
        <v>108</v>
      </c>
      <c r="D11" s="44"/>
      <c r="E11" s="111">
        <v>8000.0</v>
      </c>
      <c r="F11" s="34">
        <f t="shared" si="1"/>
        <v>3373375</v>
      </c>
      <c r="G11" s="50"/>
      <c r="H11" s="50"/>
      <c r="I11" s="36">
        <f t="shared" si="2"/>
        <v>36288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10">
        <v>45840.0</v>
      </c>
      <c r="B12" s="43" t="s">
        <v>246</v>
      </c>
      <c r="C12" s="43" t="s">
        <v>247</v>
      </c>
      <c r="D12" s="52">
        <v>225000.0</v>
      </c>
      <c r="E12" s="107"/>
      <c r="F12" s="34">
        <f t="shared" si="1"/>
        <v>3598375</v>
      </c>
      <c r="G12" s="50"/>
      <c r="H12" s="50"/>
      <c r="I12" s="36">
        <f t="shared" si="2"/>
        <v>36288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10">
        <v>45840.0</v>
      </c>
      <c r="B13" s="43" t="s">
        <v>248</v>
      </c>
      <c r="C13" s="43" t="s">
        <v>249</v>
      </c>
      <c r="D13" s="52"/>
      <c r="E13" s="52"/>
      <c r="F13" s="34">
        <f t="shared" si="1"/>
        <v>3598375</v>
      </c>
      <c r="G13" s="29"/>
      <c r="H13" s="112">
        <v>20000.0</v>
      </c>
      <c r="I13" s="36">
        <f t="shared" si="2"/>
        <v>16288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10">
        <v>45841.0</v>
      </c>
      <c r="B14" s="43" t="s">
        <v>250</v>
      </c>
      <c r="C14" s="43" t="s">
        <v>251</v>
      </c>
      <c r="D14" s="44"/>
      <c r="E14" s="52">
        <v>700000.0</v>
      </c>
      <c r="F14" s="34">
        <f t="shared" si="1"/>
        <v>2898375</v>
      </c>
      <c r="G14" s="38"/>
      <c r="H14" s="50"/>
      <c r="I14" s="36">
        <f t="shared" si="2"/>
        <v>16288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10">
        <v>45841.0</v>
      </c>
      <c r="B15" s="43" t="s">
        <v>252</v>
      </c>
      <c r="C15" s="43" t="s">
        <v>251</v>
      </c>
      <c r="D15" s="44"/>
      <c r="E15" s="52">
        <v>1100000.0</v>
      </c>
      <c r="F15" s="34">
        <f t="shared" si="1"/>
        <v>1798375</v>
      </c>
      <c r="G15" s="50"/>
      <c r="H15" s="38"/>
      <c r="I15" s="36">
        <f t="shared" si="2"/>
        <v>16288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91">
        <v>45845.0</v>
      </c>
      <c r="B16" s="43" t="s">
        <v>253</v>
      </c>
      <c r="C16" s="43" t="s">
        <v>197</v>
      </c>
      <c r="D16" s="52"/>
      <c r="E16" s="111">
        <v>1030000.0</v>
      </c>
      <c r="F16" s="34">
        <f t="shared" si="1"/>
        <v>768375</v>
      </c>
      <c r="G16" s="50"/>
      <c r="H16" s="50"/>
      <c r="I16" s="36">
        <f t="shared" si="2"/>
        <v>16288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91">
        <v>45845.0</v>
      </c>
      <c r="B17" s="43" t="s">
        <v>253</v>
      </c>
      <c r="C17" s="43" t="s">
        <v>254</v>
      </c>
      <c r="D17" s="52"/>
      <c r="E17" s="111">
        <v>150000.0</v>
      </c>
      <c r="F17" s="34">
        <f t="shared" si="1"/>
        <v>618375</v>
      </c>
      <c r="G17" s="50"/>
      <c r="H17" s="50"/>
      <c r="I17" s="36">
        <f t="shared" si="2"/>
        <v>16288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91">
        <v>45845.0</v>
      </c>
      <c r="B18" s="43" t="s">
        <v>253</v>
      </c>
      <c r="C18" s="48" t="s">
        <v>255</v>
      </c>
      <c r="D18" s="52"/>
      <c r="E18" s="111">
        <v>423500.0</v>
      </c>
      <c r="F18" s="34">
        <f t="shared" si="1"/>
        <v>194875</v>
      </c>
      <c r="G18" s="29"/>
      <c r="H18" s="50"/>
      <c r="I18" s="36">
        <f t="shared" si="2"/>
        <v>16288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91">
        <v>45845.0</v>
      </c>
      <c r="B19" s="43" t="s">
        <v>75</v>
      </c>
      <c r="C19" s="43" t="s">
        <v>256</v>
      </c>
      <c r="D19" s="52"/>
      <c r="E19" s="111">
        <v>315000.0</v>
      </c>
      <c r="F19" s="34">
        <f t="shared" si="1"/>
        <v>-120125</v>
      </c>
      <c r="G19" s="50"/>
      <c r="H19" s="50"/>
      <c r="I19" s="36">
        <f t="shared" si="2"/>
        <v>16288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91">
        <v>45845.0</v>
      </c>
      <c r="B20" s="43" t="s">
        <v>53</v>
      </c>
      <c r="C20" s="43" t="s">
        <v>257</v>
      </c>
      <c r="D20" s="52">
        <v>1984000.0</v>
      </c>
      <c r="E20" s="102"/>
      <c r="F20" s="34">
        <f t="shared" si="1"/>
        <v>1863875</v>
      </c>
      <c r="G20" s="50"/>
      <c r="H20" s="50">
        <v>1600.0</v>
      </c>
      <c r="I20" s="36">
        <f t="shared" si="2"/>
        <v>14688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91">
        <v>45845.0</v>
      </c>
      <c r="B21" s="43" t="s">
        <v>83</v>
      </c>
      <c r="C21" s="43" t="s">
        <v>258</v>
      </c>
      <c r="D21" s="44"/>
      <c r="E21" s="102"/>
      <c r="F21" s="34">
        <f t="shared" si="1"/>
        <v>1863875</v>
      </c>
      <c r="G21" s="54"/>
      <c r="H21" s="54">
        <v>450.0</v>
      </c>
      <c r="I21" s="36">
        <f t="shared" si="2"/>
        <v>14238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91">
        <v>45845.0</v>
      </c>
      <c r="B22" s="43" t="s">
        <v>75</v>
      </c>
      <c r="C22" s="48" t="s">
        <v>259</v>
      </c>
      <c r="D22" s="44"/>
      <c r="E22" s="111">
        <v>11400.0</v>
      </c>
      <c r="F22" s="34">
        <f t="shared" si="1"/>
        <v>1852475</v>
      </c>
      <c r="G22" s="29"/>
      <c r="H22" s="50"/>
      <c r="I22" s="36">
        <f t="shared" si="2"/>
        <v>14238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91">
        <v>45846.0</v>
      </c>
      <c r="B23" s="43" t="s">
        <v>75</v>
      </c>
      <c r="C23" s="43" t="s">
        <v>260</v>
      </c>
      <c r="D23" s="52"/>
      <c r="E23" s="102">
        <v>1160000.0</v>
      </c>
      <c r="F23" s="34">
        <f t="shared" si="1"/>
        <v>692475</v>
      </c>
      <c r="G23" s="29"/>
      <c r="H23" s="28"/>
      <c r="I23" s="36">
        <f t="shared" si="2"/>
        <v>14238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91">
        <v>45846.0</v>
      </c>
      <c r="B24" s="43" t="s">
        <v>75</v>
      </c>
      <c r="C24" s="48" t="s">
        <v>261</v>
      </c>
      <c r="D24" s="52"/>
      <c r="E24" s="111">
        <v>8000.0</v>
      </c>
      <c r="F24" s="34">
        <f t="shared" si="1"/>
        <v>684475</v>
      </c>
      <c r="G24" s="29"/>
      <c r="H24" s="50"/>
      <c r="I24" s="36">
        <f t="shared" si="2"/>
        <v>14238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91">
        <v>45846.0</v>
      </c>
      <c r="B25" s="43" t="s">
        <v>83</v>
      </c>
      <c r="C25" s="43" t="s">
        <v>262</v>
      </c>
      <c r="D25" s="52"/>
      <c r="E25" s="111">
        <v>215000.0</v>
      </c>
      <c r="F25" s="34">
        <f t="shared" si="1"/>
        <v>469475</v>
      </c>
      <c r="G25" s="50">
        <v>280.0</v>
      </c>
      <c r="H25" s="50">
        <v>280.0</v>
      </c>
      <c r="I25" s="36">
        <f t="shared" si="2"/>
        <v>14238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1">
        <v>45846.0</v>
      </c>
      <c r="B26" s="43" t="s">
        <v>83</v>
      </c>
      <c r="C26" s="43" t="s">
        <v>263</v>
      </c>
      <c r="D26" s="52"/>
      <c r="E26" s="52"/>
      <c r="F26" s="34">
        <f t="shared" si="1"/>
        <v>469475</v>
      </c>
      <c r="G26" s="50">
        <v>300.0</v>
      </c>
      <c r="H26" s="28"/>
      <c r="I26" s="36">
        <f t="shared" si="2"/>
        <v>14538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1">
        <v>45846.0</v>
      </c>
      <c r="B27" s="43" t="s">
        <v>53</v>
      </c>
      <c r="C27" s="43" t="s">
        <v>257</v>
      </c>
      <c r="D27" s="111">
        <v>2480000.0</v>
      </c>
      <c r="E27" s="111"/>
      <c r="F27" s="34">
        <f t="shared" si="1"/>
        <v>2949475</v>
      </c>
      <c r="G27" s="29"/>
      <c r="H27" s="50">
        <v>2000.0</v>
      </c>
      <c r="I27" s="36">
        <f t="shared" si="2"/>
        <v>12538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1">
        <v>45846.0</v>
      </c>
      <c r="B28" s="43" t="s">
        <v>75</v>
      </c>
      <c r="C28" s="48" t="s">
        <v>264</v>
      </c>
      <c r="D28" s="44"/>
      <c r="E28" s="111">
        <v>34500.0</v>
      </c>
      <c r="F28" s="34">
        <f t="shared" si="1"/>
        <v>2914975</v>
      </c>
      <c r="G28" s="50"/>
      <c r="H28" s="50"/>
      <c r="I28" s="36">
        <f t="shared" si="2"/>
        <v>12538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1">
        <v>45847.0</v>
      </c>
      <c r="B29" s="43" t="s">
        <v>75</v>
      </c>
      <c r="C29" s="48" t="s">
        <v>108</v>
      </c>
      <c r="D29" s="44"/>
      <c r="E29" s="102">
        <v>8000.0</v>
      </c>
      <c r="F29" s="34">
        <f t="shared" si="1"/>
        <v>2906975</v>
      </c>
      <c r="G29" s="29"/>
      <c r="H29" s="50"/>
      <c r="I29" s="36">
        <f t="shared" si="2"/>
        <v>12538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1">
        <v>45847.0</v>
      </c>
      <c r="B30" s="43" t="s">
        <v>83</v>
      </c>
      <c r="C30" s="43" t="s">
        <v>265</v>
      </c>
      <c r="D30" s="89"/>
      <c r="E30" s="111"/>
      <c r="F30" s="34">
        <f t="shared" si="1"/>
        <v>2906975</v>
      </c>
      <c r="G30" s="50"/>
      <c r="H30" s="50">
        <v>560.0</v>
      </c>
      <c r="I30" s="36">
        <f t="shared" si="2"/>
        <v>11978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1">
        <v>45847.0</v>
      </c>
      <c r="B31" s="43" t="s">
        <v>53</v>
      </c>
      <c r="C31" s="43" t="s">
        <v>266</v>
      </c>
      <c r="D31" s="52">
        <v>7500000.0</v>
      </c>
      <c r="E31" s="52"/>
      <c r="F31" s="34">
        <f t="shared" si="1"/>
        <v>10406975</v>
      </c>
      <c r="G31" s="29"/>
      <c r="H31" s="28">
        <v>6000.0</v>
      </c>
      <c r="I31" s="36">
        <f t="shared" si="2"/>
        <v>5978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1">
        <v>45847.0</v>
      </c>
      <c r="B32" s="43" t="s">
        <v>83</v>
      </c>
      <c r="C32" s="43" t="s">
        <v>267</v>
      </c>
      <c r="D32" s="44"/>
      <c r="E32" s="102"/>
      <c r="F32" s="34">
        <f t="shared" si="1"/>
        <v>10406975</v>
      </c>
      <c r="G32" s="50">
        <v>300.0</v>
      </c>
      <c r="H32" s="29"/>
      <c r="I32" s="36">
        <f t="shared" si="2"/>
        <v>6278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1">
        <v>45847.0</v>
      </c>
      <c r="B33" s="43" t="s">
        <v>83</v>
      </c>
      <c r="C33" s="43" t="s">
        <v>268</v>
      </c>
      <c r="D33" s="89"/>
      <c r="E33" s="52"/>
      <c r="F33" s="34">
        <f t="shared" si="1"/>
        <v>10406975</v>
      </c>
      <c r="G33" s="50">
        <v>400.0</v>
      </c>
      <c r="H33" s="28"/>
      <c r="I33" s="36">
        <f t="shared" si="2"/>
        <v>6678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1">
        <v>45847.0</v>
      </c>
      <c r="B34" s="43" t="s">
        <v>83</v>
      </c>
      <c r="C34" s="43" t="s">
        <v>269</v>
      </c>
      <c r="D34" s="111">
        <v>33800.0</v>
      </c>
      <c r="E34" s="111"/>
      <c r="F34" s="34">
        <f t="shared" si="1"/>
        <v>10440775</v>
      </c>
      <c r="G34" s="50">
        <v>140.0</v>
      </c>
      <c r="H34" s="50"/>
      <c r="I34" s="36">
        <f t="shared" si="2"/>
        <v>6818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45847.0</v>
      </c>
      <c r="B35" s="43" t="s">
        <v>75</v>
      </c>
      <c r="C35" s="48" t="s">
        <v>270</v>
      </c>
      <c r="D35" s="44"/>
      <c r="E35" s="102">
        <v>170000.0</v>
      </c>
      <c r="F35" s="92">
        <f t="shared" si="1"/>
        <v>10270775</v>
      </c>
      <c r="G35" s="54"/>
      <c r="H35" s="54"/>
      <c r="I35" s="93">
        <f t="shared" si="2"/>
        <v>6818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45849.0</v>
      </c>
      <c r="B36" s="43" t="s">
        <v>91</v>
      </c>
      <c r="C36" s="43" t="s">
        <v>271</v>
      </c>
      <c r="D36" s="52"/>
      <c r="E36" s="113"/>
      <c r="F36" s="34">
        <f t="shared" si="1"/>
        <v>10270775</v>
      </c>
      <c r="G36" s="50">
        <v>2500.0</v>
      </c>
      <c r="H36" s="50"/>
      <c r="I36" s="36">
        <f t="shared" si="2"/>
        <v>9318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45849.0</v>
      </c>
      <c r="B37" s="43" t="s">
        <v>75</v>
      </c>
      <c r="C37" s="48" t="s">
        <v>272</v>
      </c>
      <c r="D37" s="52"/>
      <c r="E37" s="52">
        <v>10000.0</v>
      </c>
      <c r="F37" s="34">
        <f t="shared" si="1"/>
        <v>10260775</v>
      </c>
      <c r="G37" s="28"/>
      <c r="H37" s="50"/>
      <c r="I37" s="36">
        <f t="shared" si="2"/>
        <v>9318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1">
        <v>45849.0</v>
      </c>
      <c r="B38" s="43" t="s">
        <v>75</v>
      </c>
      <c r="C38" s="43" t="s">
        <v>273</v>
      </c>
      <c r="D38" s="44"/>
      <c r="E38" s="52">
        <v>7000.0</v>
      </c>
      <c r="F38" s="34">
        <f t="shared" si="1"/>
        <v>10253775</v>
      </c>
      <c r="G38" s="50"/>
      <c r="H38" s="28"/>
      <c r="I38" s="36">
        <f t="shared" si="2"/>
        <v>9318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1">
        <v>45852.0</v>
      </c>
      <c r="B39" s="43" t="s">
        <v>274</v>
      </c>
      <c r="C39" s="43" t="s">
        <v>275</v>
      </c>
      <c r="D39" s="52"/>
      <c r="E39" s="111">
        <v>7000000.0</v>
      </c>
      <c r="F39" s="34">
        <f t="shared" si="1"/>
        <v>3253775</v>
      </c>
      <c r="G39" s="50"/>
      <c r="H39" s="29"/>
      <c r="I39" s="36">
        <f t="shared" si="2"/>
        <v>9318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1">
        <v>45852.0</v>
      </c>
      <c r="B40" s="43" t="s">
        <v>83</v>
      </c>
      <c r="C40" s="43" t="s">
        <v>276</v>
      </c>
      <c r="D40" s="89"/>
      <c r="E40" s="52"/>
      <c r="F40" s="92">
        <f t="shared" si="1"/>
        <v>3253775</v>
      </c>
      <c r="G40" s="54">
        <v>250.0</v>
      </c>
      <c r="H40" s="97"/>
      <c r="I40" s="98">
        <f t="shared" si="2"/>
        <v>9568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91">
        <v>45852.0</v>
      </c>
      <c r="B41" s="43" t="s">
        <v>196</v>
      </c>
      <c r="C41" s="103" t="s">
        <v>277</v>
      </c>
      <c r="D41" s="102"/>
      <c r="E41" s="52">
        <v>130000.0</v>
      </c>
      <c r="F41" s="34">
        <f t="shared" si="1"/>
        <v>3123775</v>
      </c>
      <c r="G41" s="29"/>
      <c r="H41" s="28"/>
      <c r="I41" s="36">
        <f t="shared" si="2"/>
        <v>9568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6">
        <v>45853.0</v>
      </c>
      <c r="B42" s="43" t="s">
        <v>83</v>
      </c>
      <c r="C42" s="43" t="s">
        <v>278</v>
      </c>
      <c r="D42" s="52">
        <v>474250.0</v>
      </c>
      <c r="E42" s="102"/>
      <c r="F42" s="34">
        <f t="shared" si="1"/>
        <v>3598025</v>
      </c>
      <c r="G42" s="29"/>
      <c r="H42" s="50"/>
      <c r="I42" s="36">
        <f t="shared" si="2"/>
        <v>9568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6">
        <v>45853.0</v>
      </c>
      <c r="B43" s="43" t="s">
        <v>91</v>
      </c>
      <c r="C43" s="43" t="s">
        <v>279</v>
      </c>
      <c r="D43" s="44"/>
      <c r="E43" s="102"/>
      <c r="F43" s="34">
        <f t="shared" si="1"/>
        <v>3598025</v>
      </c>
      <c r="G43" s="50">
        <v>3500.0</v>
      </c>
      <c r="H43" s="50"/>
      <c r="I43" s="36">
        <f t="shared" si="2"/>
        <v>13068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6">
        <v>45854.0</v>
      </c>
      <c r="B44" s="43" t="s">
        <v>223</v>
      </c>
      <c r="C44" s="43" t="s">
        <v>239</v>
      </c>
      <c r="D44" s="44"/>
      <c r="E44" s="52"/>
      <c r="F44" s="34">
        <f t="shared" si="1"/>
        <v>3598025</v>
      </c>
      <c r="G44" s="50"/>
      <c r="H44" s="50">
        <v>100.0</v>
      </c>
      <c r="I44" s="36">
        <f t="shared" si="2"/>
        <v>12968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6">
        <v>45854.0</v>
      </c>
      <c r="B45" s="43" t="s">
        <v>75</v>
      </c>
      <c r="C45" s="48" t="s">
        <v>280</v>
      </c>
      <c r="D45" s="44"/>
      <c r="E45" s="52">
        <v>151000.0</v>
      </c>
      <c r="F45" s="34">
        <f t="shared" si="1"/>
        <v>3447025</v>
      </c>
      <c r="G45" s="29"/>
      <c r="H45" s="50"/>
      <c r="I45" s="36">
        <f t="shared" si="2"/>
        <v>12968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6">
        <v>45855.0</v>
      </c>
      <c r="B46" s="43" t="s">
        <v>83</v>
      </c>
      <c r="C46" s="43" t="s">
        <v>281</v>
      </c>
      <c r="D46" s="52">
        <v>598000.0</v>
      </c>
      <c r="E46" s="52"/>
      <c r="F46" s="34">
        <f t="shared" si="1"/>
        <v>4045025</v>
      </c>
      <c r="G46" s="29"/>
      <c r="H46" s="50"/>
      <c r="I46" s="36">
        <f t="shared" si="2"/>
        <v>12968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6">
        <v>45855.0</v>
      </c>
      <c r="B47" s="43" t="s">
        <v>75</v>
      </c>
      <c r="C47" s="43" t="s">
        <v>282</v>
      </c>
      <c r="D47" s="44"/>
      <c r="E47" s="52">
        <v>150000.0</v>
      </c>
      <c r="F47" s="34">
        <f t="shared" si="1"/>
        <v>3895025</v>
      </c>
      <c r="G47" s="50"/>
      <c r="H47" s="50"/>
      <c r="I47" s="36">
        <f t="shared" si="2"/>
        <v>12968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6">
        <v>45856.0</v>
      </c>
      <c r="B48" s="43" t="s">
        <v>58</v>
      </c>
      <c r="C48" s="48" t="s">
        <v>283</v>
      </c>
      <c r="D48" s="44"/>
      <c r="E48" s="52"/>
      <c r="F48" s="34">
        <f t="shared" si="1"/>
        <v>3895025</v>
      </c>
      <c r="G48" s="29"/>
      <c r="H48" s="50">
        <v>300.0</v>
      </c>
      <c r="I48" s="36">
        <f t="shared" si="2"/>
        <v>12668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6">
        <v>45859.0</v>
      </c>
      <c r="B49" s="43" t="s">
        <v>83</v>
      </c>
      <c r="C49" s="43" t="s">
        <v>284</v>
      </c>
      <c r="D49" s="52">
        <v>2541000.0</v>
      </c>
      <c r="E49" s="52"/>
      <c r="F49" s="34">
        <f t="shared" si="1"/>
        <v>6436025</v>
      </c>
      <c r="G49" s="29"/>
      <c r="H49" s="50"/>
      <c r="I49" s="36">
        <f t="shared" si="2"/>
        <v>12668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6">
        <v>45861.0</v>
      </c>
      <c r="B50" s="43" t="s">
        <v>285</v>
      </c>
      <c r="C50" s="43" t="s">
        <v>286</v>
      </c>
      <c r="D50" s="44"/>
      <c r="E50" s="52"/>
      <c r="F50" s="34">
        <f t="shared" si="1"/>
        <v>6436025</v>
      </c>
      <c r="G50" s="29"/>
      <c r="H50" s="50">
        <v>100.0</v>
      </c>
      <c r="I50" s="36">
        <f t="shared" si="2"/>
        <v>12568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6">
        <v>45862.0</v>
      </c>
      <c r="B51" s="43" t="s">
        <v>75</v>
      </c>
      <c r="C51" s="43" t="s">
        <v>287</v>
      </c>
      <c r="D51" s="44"/>
      <c r="E51" s="52"/>
      <c r="F51" s="34">
        <f t="shared" si="1"/>
        <v>6436025</v>
      </c>
      <c r="G51" s="29"/>
      <c r="H51" s="50">
        <v>1625.0</v>
      </c>
      <c r="I51" s="36">
        <f t="shared" si="2"/>
        <v>10943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6">
        <v>45862.0</v>
      </c>
      <c r="B52" s="43" t="s">
        <v>55</v>
      </c>
      <c r="C52" s="43" t="s">
        <v>288</v>
      </c>
      <c r="D52" s="44"/>
      <c r="E52" s="52">
        <v>15000.0</v>
      </c>
      <c r="F52" s="34">
        <f t="shared" si="1"/>
        <v>6421025</v>
      </c>
      <c r="G52" s="50"/>
      <c r="H52" s="29"/>
      <c r="I52" s="36">
        <f t="shared" si="2"/>
        <v>10943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6">
        <v>45862.0</v>
      </c>
      <c r="B53" s="43" t="s">
        <v>55</v>
      </c>
      <c r="C53" s="48" t="s">
        <v>289</v>
      </c>
      <c r="D53" s="52"/>
      <c r="E53" s="52">
        <v>23000.0</v>
      </c>
      <c r="F53" s="34">
        <f t="shared" si="1"/>
        <v>6398025</v>
      </c>
      <c r="G53" s="50"/>
      <c r="H53" s="50"/>
      <c r="I53" s="36">
        <f t="shared" si="2"/>
        <v>10943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6">
        <v>45862.0</v>
      </c>
      <c r="B54" s="43" t="s">
        <v>75</v>
      </c>
      <c r="C54" s="114" t="s">
        <v>290</v>
      </c>
      <c r="D54" s="52"/>
      <c r="E54" s="52">
        <v>20000.0</v>
      </c>
      <c r="F54" s="34">
        <f t="shared" si="1"/>
        <v>6378025</v>
      </c>
      <c r="G54" s="50"/>
      <c r="H54" s="29"/>
      <c r="I54" s="36">
        <f t="shared" si="2"/>
        <v>10943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6">
        <v>45862.0</v>
      </c>
      <c r="B55" s="43" t="s">
        <v>75</v>
      </c>
      <c r="C55" s="48" t="s">
        <v>291</v>
      </c>
      <c r="D55" s="44"/>
      <c r="E55" s="52">
        <v>6000.0</v>
      </c>
      <c r="F55" s="34">
        <f t="shared" si="1"/>
        <v>6372025</v>
      </c>
      <c r="G55" s="29"/>
      <c r="H55" s="50"/>
      <c r="I55" s="36">
        <f t="shared" si="2"/>
        <v>10943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6">
        <v>45868.0</v>
      </c>
      <c r="B56" s="43" t="s">
        <v>292</v>
      </c>
      <c r="C56" s="43" t="s">
        <v>293</v>
      </c>
      <c r="D56" s="44"/>
      <c r="E56" s="52"/>
      <c r="F56" s="34">
        <f t="shared" si="1"/>
        <v>6372025</v>
      </c>
      <c r="G56" s="50">
        <v>9500.0</v>
      </c>
      <c r="H56" s="29"/>
      <c r="I56" s="36">
        <f t="shared" si="2"/>
        <v>20443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6">
        <v>45868.0</v>
      </c>
      <c r="B57" s="43" t="s">
        <v>75</v>
      </c>
      <c r="C57" s="48" t="s">
        <v>294</v>
      </c>
      <c r="D57" s="44"/>
      <c r="E57" s="52">
        <v>72000.0</v>
      </c>
      <c r="F57" s="34">
        <f t="shared" si="1"/>
        <v>6300025</v>
      </c>
      <c r="G57" s="50"/>
      <c r="H57" s="41"/>
      <c r="I57" s="36">
        <f t="shared" si="2"/>
        <v>20443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6">
        <v>45868.0</v>
      </c>
      <c r="B58" s="33" t="s">
        <v>75</v>
      </c>
      <c r="C58" s="48" t="s">
        <v>108</v>
      </c>
      <c r="D58" s="26"/>
      <c r="E58" s="56">
        <v>8000.0</v>
      </c>
      <c r="F58" s="34">
        <f t="shared" si="1"/>
        <v>6292025</v>
      </c>
      <c r="G58" s="50"/>
      <c r="H58" s="50"/>
      <c r="I58" s="36">
        <f t="shared" si="2"/>
        <v>20443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5">
        <v>45869.0</v>
      </c>
      <c r="B59" s="33" t="s">
        <v>88</v>
      </c>
      <c r="C59" s="43" t="s">
        <v>295</v>
      </c>
      <c r="D59" s="56"/>
      <c r="E59" s="29"/>
      <c r="F59" s="34">
        <f t="shared" si="1"/>
        <v>6292025</v>
      </c>
      <c r="G59" s="50"/>
      <c r="H59" s="50">
        <v>1080.0</v>
      </c>
      <c r="I59" s="36">
        <f t="shared" si="2"/>
        <v>19363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5">
        <v>45869.0</v>
      </c>
      <c r="B60" s="33" t="s">
        <v>75</v>
      </c>
      <c r="C60" s="48" t="s">
        <v>296</v>
      </c>
      <c r="D60" s="26"/>
      <c r="E60" s="50">
        <v>1340000.0</v>
      </c>
      <c r="F60" s="34">
        <f t="shared" si="1"/>
        <v>4952025</v>
      </c>
      <c r="G60" s="50"/>
      <c r="H60" s="29"/>
      <c r="I60" s="36">
        <f t="shared" si="2"/>
        <v>19363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5">
        <v>45869.0</v>
      </c>
      <c r="B61" s="33" t="s">
        <v>88</v>
      </c>
      <c r="C61" s="43" t="s">
        <v>297</v>
      </c>
      <c r="D61" s="26"/>
      <c r="E61" s="50"/>
      <c r="F61" s="34">
        <f t="shared" si="1"/>
        <v>4952025</v>
      </c>
      <c r="G61" s="50"/>
      <c r="H61" s="50">
        <v>1080.0</v>
      </c>
      <c r="I61" s="36">
        <f t="shared" si="2"/>
        <v>18283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5"/>
      <c r="B62" s="33"/>
      <c r="C62" s="43"/>
      <c r="D62" s="26"/>
      <c r="E62" s="26"/>
      <c r="F62" s="34">
        <f t="shared" si="1"/>
        <v>4952025</v>
      </c>
      <c r="G62" s="29"/>
      <c r="H62" s="50"/>
      <c r="I62" s="36">
        <f t="shared" si="2"/>
        <v>18283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5"/>
      <c r="B63" s="33"/>
      <c r="C63" s="43"/>
      <c r="D63" s="26"/>
      <c r="E63" s="26"/>
      <c r="F63" s="34">
        <f t="shared" si="1"/>
        <v>4952025</v>
      </c>
      <c r="G63" s="50"/>
      <c r="H63" s="29"/>
      <c r="I63" s="36">
        <f t="shared" si="2"/>
        <v>18283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5"/>
      <c r="B64" s="33"/>
      <c r="C64" s="43"/>
      <c r="D64" s="26"/>
      <c r="E64" s="26"/>
      <c r="F64" s="34">
        <f t="shared" si="1"/>
        <v>4952025</v>
      </c>
      <c r="G64" s="38"/>
      <c r="H64" s="50"/>
      <c r="I64" s="36">
        <f t="shared" si="2"/>
        <v>18283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5"/>
      <c r="B65" s="33"/>
      <c r="C65" s="43"/>
      <c r="D65" s="26"/>
      <c r="E65" s="56"/>
      <c r="F65" s="34">
        <f t="shared" si="1"/>
        <v>4952025</v>
      </c>
      <c r="G65" s="28"/>
      <c r="H65" s="50"/>
      <c r="I65" s="36">
        <f t="shared" si="2"/>
        <v>18283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5"/>
      <c r="B66" s="33"/>
      <c r="C66" s="43"/>
      <c r="D66" s="26"/>
      <c r="E66" s="26"/>
      <c r="F66" s="34">
        <f t="shared" si="1"/>
        <v>4952025</v>
      </c>
      <c r="G66" s="38"/>
      <c r="H66" s="50"/>
      <c r="I66" s="36">
        <f t="shared" si="2"/>
        <v>18283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5"/>
      <c r="B67" s="33"/>
      <c r="C67" s="43"/>
      <c r="D67" s="26"/>
      <c r="E67" s="56"/>
      <c r="F67" s="34">
        <f t="shared" si="1"/>
        <v>4952025</v>
      </c>
      <c r="G67" s="38"/>
      <c r="H67" s="29"/>
      <c r="I67" s="36">
        <f t="shared" si="2"/>
        <v>18283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5"/>
      <c r="B68" s="33"/>
      <c r="C68" s="43"/>
      <c r="D68" s="56"/>
      <c r="E68" s="26"/>
      <c r="F68" s="34">
        <f t="shared" si="1"/>
        <v>4952025</v>
      </c>
      <c r="G68" s="38"/>
      <c r="H68" s="29"/>
      <c r="I68" s="36">
        <f t="shared" si="2"/>
        <v>18283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5"/>
      <c r="B69" s="33"/>
      <c r="C69" s="43"/>
      <c r="D69" s="26"/>
      <c r="E69" s="56"/>
      <c r="F69" s="34">
        <f t="shared" si="1"/>
        <v>4952025</v>
      </c>
      <c r="G69" s="29"/>
      <c r="H69" s="29"/>
      <c r="I69" s="36">
        <f t="shared" si="2"/>
        <v>18283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5"/>
      <c r="B70" s="33"/>
      <c r="C70" s="43"/>
      <c r="D70" s="26"/>
      <c r="E70" s="56"/>
      <c r="F70" s="34">
        <f t="shared" si="1"/>
        <v>4952025</v>
      </c>
      <c r="G70" s="29"/>
      <c r="H70" s="29"/>
      <c r="I70" s="36">
        <f t="shared" si="2"/>
        <v>18283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5"/>
      <c r="B71" s="33"/>
      <c r="C71" s="43"/>
      <c r="D71" s="26"/>
      <c r="E71" s="26"/>
      <c r="F71" s="34">
        <f t="shared" si="1"/>
        <v>4952025</v>
      </c>
      <c r="G71" s="29"/>
      <c r="H71" s="50"/>
      <c r="I71" s="36">
        <f t="shared" si="2"/>
        <v>18283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5"/>
      <c r="B72" s="33"/>
      <c r="C72" s="43"/>
      <c r="D72" s="26"/>
      <c r="E72" s="56"/>
      <c r="F72" s="34">
        <f t="shared" si="1"/>
        <v>4952025</v>
      </c>
      <c r="G72" s="29"/>
      <c r="H72" s="50"/>
      <c r="I72" s="36">
        <f t="shared" si="2"/>
        <v>18283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5"/>
      <c r="B73" s="33"/>
      <c r="C73" s="43"/>
      <c r="D73" s="26"/>
      <c r="E73" s="56"/>
      <c r="F73" s="34">
        <f t="shared" si="1"/>
        <v>4952025</v>
      </c>
      <c r="G73" s="29"/>
      <c r="H73" s="50"/>
      <c r="I73" s="36">
        <f t="shared" si="2"/>
        <v>18283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5"/>
      <c r="B74" s="33"/>
      <c r="C74" s="43"/>
      <c r="D74" s="26"/>
      <c r="E74" s="26"/>
      <c r="F74" s="34">
        <f t="shared" si="1"/>
        <v>4952025</v>
      </c>
      <c r="G74" s="29"/>
      <c r="H74" s="50"/>
      <c r="I74" s="36">
        <f t="shared" si="2"/>
        <v>18283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/>
      <c r="B75" s="33"/>
      <c r="C75" s="43"/>
      <c r="D75" s="26"/>
      <c r="E75" s="56"/>
      <c r="F75" s="34">
        <f t="shared" si="1"/>
        <v>4952025</v>
      </c>
      <c r="G75" s="29"/>
      <c r="H75" s="50"/>
      <c r="I75" s="36">
        <f t="shared" si="2"/>
        <v>18283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/>
      <c r="B76" s="33"/>
      <c r="C76" s="43"/>
      <c r="D76" s="26"/>
      <c r="E76" s="26"/>
      <c r="F76" s="34">
        <f t="shared" si="1"/>
        <v>4952025</v>
      </c>
      <c r="G76" s="29"/>
      <c r="H76" s="50"/>
      <c r="I76" s="36">
        <f t="shared" si="2"/>
        <v>18283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/>
      <c r="B77" s="33"/>
      <c r="C77" s="43"/>
      <c r="D77" s="26"/>
      <c r="E77" s="26"/>
      <c r="F77" s="34">
        <f t="shared" si="1"/>
        <v>4952025</v>
      </c>
      <c r="G77" s="50"/>
      <c r="H77" s="50"/>
      <c r="I77" s="36">
        <f t="shared" si="2"/>
        <v>18283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5"/>
      <c r="B78" s="33"/>
      <c r="C78" s="43"/>
      <c r="D78" s="26"/>
      <c r="E78" s="26"/>
      <c r="F78" s="34">
        <f t="shared" si="1"/>
        <v>4952025</v>
      </c>
      <c r="G78" s="50"/>
      <c r="H78" s="50"/>
      <c r="I78" s="36">
        <f t="shared" si="2"/>
        <v>18283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5"/>
      <c r="B79" s="33"/>
      <c r="C79" s="43"/>
      <c r="D79" s="26"/>
      <c r="E79" s="26"/>
      <c r="F79" s="34">
        <f t="shared" si="1"/>
        <v>4952025</v>
      </c>
      <c r="G79" s="29"/>
      <c r="H79" s="50"/>
      <c r="I79" s="36">
        <f t="shared" si="2"/>
        <v>18283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/>
      <c r="B80" s="33"/>
      <c r="C80" s="43"/>
      <c r="D80" s="26"/>
      <c r="E80" s="26"/>
      <c r="F80" s="34">
        <f t="shared" si="1"/>
        <v>4952025</v>
      </c>
      <c r="G80" s="50"/>
      <c r="H80" s="50"/>
      <c r="I80" s="36">
        <f t="shared" si="2"/>
        <v>18283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/>
      <c r="B81" s="33"/>
      <c r="C81" s="43"/>
      <c r="D81" s="26"/>
      <c r="E81" s="26"/>
      <c r="F81" s="34">
        <f t="shared" si="1"/>
        <v>4952025</v>
      </c>
      <c r="G81" s="29"/>
      <c r="H81" s="50"/>
      <c r="I81" s="36">
        <f t="shared" si="2"/>
        <v>18283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43"/>
      <c r="D82" s="26"/>
      <c r="E82" s="26"/>
      <c r="F82" s="34">
        <f t="shared" si="1"/>
        <v>4952025</v>
      </c>
      <c r="G82" s="29"/>
      <c r="H82" s="50"/>
      <c r="I82" s="36">
        <f t="shared" si="2"/>
        <v>18283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5.38"/>
  </cols>
  <sheetData>
    <row r="1">
      <c r="A1" s="1" t="s">
        <v>298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15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/>
      <c r="B5" s="33"/>
      <c r="C5" s="43" t="s">
        <v>9</v>
      </c>
      <c r="D5" s="56">
        <v>4969025.0</v>
      </c>
      <c r="E5" s="84"/>
      <c r="F5" s="34">
        <f t="shared" ref="F5:F82" si="1">F4+D5-E5</f>
        <v>4969025</v>
      </c>
      <c r="G5" s="28">
        <v>18283.0</v>
      </c>
      <c r="H5" s="29"/>
      <c r="I5" s="36">
        <f t="shared" ref="I5:I82" si="2">I4+G5-H5</f>
        <v>18283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10">
        <v>45873.0</v>
      </c>
      <c r="B6" s="43" t="s">
        <v>112</v>
      </c>
      <c r="C6" s="48" t="s">
        <v>299</v>
      </c>
      <c r="D6" s="52"/>
      <c r="E6" s="111"/>
      <c r="F6" s="34">
        <f t="shared" si="1"/>
        <v>4969025</v>
      </c>
      <c r="G6" s="28"/>
      <c r="H6" s="50">
        <v>1500.0</v>
      </c>
      <c r="I6" s="36">
        <f t="shared" si="2"/>
        <v>16783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10">
        <v>45873.0</v>
      </c>
      <c r="B7" s="43" t="s">
        <v>112</v>
      </c>
      <c r="C7" s="48" t="s">
        <v>300</v>
      </c>
      <c r="D7" s="52"/>
      <c r="E7" s="111"/>
      <c r="F7" s="34">
        <f t="shared" si="1"/>
        <v>4969025</v>
      </c>
      <c r="G7" s="50"/>
      <c r="H7" s="28">
        <v>1750.0</v>
      </c>
      <c r="I7" s="36">
        <f t="shared" si="2"/>
        <v>15033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10">
        <v>45873.0</v>
      </c>
      <c r="B8" s="43" t="s">
        <v>112</v>
      </c>
      <c r="C8" s="48" t="s">
        <v>301</v>
      </c>
      <c r="D8" s="89"/>
      <c r="E8" s="111"/>
      <c r="F8" s="34">
        <f t="shared" si="1"/>
        <v>4969025</v>
      </c>
      <c r="G8" s="50"/>
      <c r="H8" s="28">
        <v>1750.0</v>
      </c>
      <c r="I8" s="36">
        <f t="shared" si="2"/>
        <v>13283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0">
        <v>45873.0</v>
      </c>
      <c r="B9" s="43" t="s">
        <v>112</v>
      </c>
      <c r="C9" s="48" t="s">
        <v>302</v>
      </c>
      <c r="D9" s="111"/>
      <c r="E9" s="111">
        <v>705800.0</v>
      </c>
      <c r="F9" s="34">
        <f t="shared" si="1"/>
        <v>4263225</v>
      </c>
      <c r="G9" s="29"/>
      <c r="H9" s="50"/>
      <c r="I9" s="36">
        <f t="shared" si="2"/>
        <v>13283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0">
        <v>45873.0</v>
      </c>
      <c r="B10" s="43" t="s">
        <v>112</v>
      </c>
      <c r="C10" s="48" t="s">
        <v>303</v>
      </c>
      <c r="D10" s="44"/>
      <c r="E10" s="111">
        <v>1109615.0</v>
      </c>
      <c r="F10" s="34">
        <f t="shared" si="1"/>
        <v>3153610</v>
      </c>
      <c r="G10" s="50"/>
      <c r="H10" s="50"/>
      <c r="I10" s="36">
        <f t="shared" si="2"/>
        <v>13283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0">
        <v>45873.0</v>
      </c>
      <c r="B11" s="43" t="s">
        <v>83</v>
      </c>
      <c r="C11" s="43" t="s">
        <v>304</v>
      </c>
      <c r="D11" s="52">
        <v>380000.0</v>
      </c>
      <c r="E11" s="111"/>
      <c r="F11" s="34">
        <f t="shared" si="1"/>
        <v>3533610</v>
      </c>
      <c r="G11" s="50"/>
      <c r="H11" s="50"/>
      <c r="I11" s="36">
        <f t="shared" si="2"/>
        <v>13283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10">
        <v>45875.0</v>
      </c>
      <c r="B12" s="43" t="s">
        <v>83</v>
      </c>
      <c r="C12" s="43" t="s">
        <v>305</v>
      </c>
      <c r="D12" s="52"/>
      <c r="E12" s="107"/>
      <c r="F12" s="34">
        <f t="shared" si="1"/>
        <v>3533610</v>
      </c>
      <c r="G12" s="50">
        <v>750.0</v>
      </c>
      <c r="H12" s="50"/>
      <c r="I12" s="36">
        <f t="shared" si="2"/>
        <v>14033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10">
        <v>45875.0</v>
      </c>
      <c r="B13" s="43" t="s">
        <v>83</v>
      </c>
      <c r="C13" s="43" t="s">
        <v>306</v>
      </c>
      <c r="D13" s="52"/>
      <c r="E13" s="111"/>
      <c r="F13" s="34">
        <f t="shared" si="1"/>
        <v>3533610</v>
      </c>
      <c r="G13" s="50">
        <v>600.0</v>
      </c>
      <c r="H13" s="28"/>
      <c r="I13" s="36">
        <f t="shared" si="2"/>
        <v>14633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10">
        <v>45875.0</v>
      </c>
      <c r="B14" s="43" t="s">
        <v>75</v>
      </c>
      <c r="C14" s="43" t="s">
        <v>307</v>
      </c>
      <c r="D14" s="44"/>
      <c r="E14" s="111">
        <v>180000.0</v>
      </c>
      <c r="F14" s="34">
        <f t="shared" si="1"/>
        <v>3353610</v>
      </c>
      <c r="G14" s="38"/>
      <c r="H14" s="50"/>
      <c r="I14" s="36">
        <f t="shared" si="2"/>
        <v>14633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10">
        <v>45875.0</v>
      </c>
      <c r="B15" s="43" t="s">
        <v>83</v>
      </c>
      <c r="C15" s="43" t="s">
        <v>308</v>
      </c>
      <c r="D15" s="52">
        <v>351000.0</v>
      </c>
      <c r="E15" s="111"/>
      <c r="F15" s="34">
        <f t="shared" si="1"/>
        <v>3704610</v>
      </c>
      <c r="G15" s="50"/>
      <c r="H15" s="38"/>
      <c r="I15" s="36">
        <f t="shared" si="2"/>
        <v>14633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85">
        <v>45877.0</v>
      </c>
      <c r="B16" s="43" t="s">
        <v>91</v>
      </c>
      <c r="C16" s="43" t="s">
        <v>309</v>
      </c>
      <c r="D16" s="52"/>
      <c r="E16" s="111"/>
      <c r="F16" s="34">
        <f t="shared" si="1"/>
        <v>3704610</v>
      </c>
      <c r="G16" s="50">
        <v>7000.0</v>
      </c>
      <c r="H16" s="50"/>
      <c r="I16" s="36">
        <f t="shared" si="2"/>
        <v>21633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85">
        <v>45877.0</v>
      </c>
      <c r="B17" s="43" t="s">
        <v>83</v>
      </c>
      <c r="C17" s="43" t="s">
        <v>310</v>
      </c>
      <c r="D17" s="52"/>
      <c r="E17" s="111"/>
      <c r="F17" s="34">
        <f t="shared" si="1"/>
        <v>3704610</v>
      </c>
      <c r="G17" s="50">
        <v>450.0</v>
      </c>
      <c r="H17" s="50"/>
      <c r="I17" s="36">
        <f t="shared" si="2"/>
        <v>22083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85">
        <v>45877.0</v>
      </c>
      <c r="B18" s="43" t="s">
        <v>83</v>
      </c>
      <c r="C18" s="43" t="s">
        <v>311</v>
      </c>
      <c r="D18" s="52">
        <v>45560.0</v>
      </c>
      <c r="E18" s="111"/>
      <c r="F18" s="34">
        <f t="shared" si="1"/>
        <v>3750170</v>
      </c>
      <c r="G18" s="54">
        <v>126.0</v>
      </c>
      <c r="H18" s="54">
        <v>1500.0</v>
      </c>
      <c r="I18" s="36">
        <f t="shared" si="2"/>
        <v>20709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85">
        <v>45877.0</v>
      </c>
      <c r="B19" s="43" t="s">
        <v>83</v>
      </c>
      <c r="C19" s="43" t="s">
        <v>312</v>
      </c>
      <c r="D19" s="52"/>
      <c r="E19" s="111"/>
      <c r="F19" s="34">
        <f t="shared" si="1"/>
        <v>3750170</v>
      </c>
      <c r="G19" s="50">
        <v>250.0</v>
      </c>
      <c r="H19" s="50"/>
      <c r="I19" s="36">
        <f t="shared" si="2"/>
        <v>20959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91">
        <v>45880.0</v>
      </c>
      <c r="B20" s="43" t="s">
        <v>83</v>
      </c>
      <c r="C20" s="43" t="s">
        <v>313</v>
      </c>
      <c r="D20" s="52">
        <v>53800.0</v>
      </c>
      <c r="E20" s="111"/>
      <c r="F20" s="34">
        <f t="shared" si="1"/>
        <v>3803970</v>
      </c>
      <c r="G20" s="50">
        <v>300.0</v>
      </c>
      <c r="H20" s="50"/>
      <c r="I20" s="36">
        <f t="shared" si="2"/>
        <v>21259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91">
        <v>45880.0</v>
      </c>
      <c r="B21" s="43" t="s">
        <v>83</v>
      </c>
      <c r="C21" s="43" t="s">
        <v>314</v>
      </c>
      <c r="D21" s="44"/>
      <c r="E21" s="111"/>
      <c r="F21" s="34">
        <f t="shared" si="1"/>
        <v>3803970</v>
      </c>
      <c r="G21" s="54">
        <v>400.0</v>
      </c>
      <c r="H21" s="54"/>
      <c r="I21" s="36">
        <f t="shared" si="2"/>
        <v>21659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91">
        <v>45880.0</v>
      </c>
      <c r="B22" s="43" t="s">
        <v>75</v>
      </c>
      <c r="C22" s="48" t="s">
        <v>315</v>
      </c>
      <c r="D22" s="44"/>
      <c r="E22" s="111">
        <v>167000.0</v>
      </c>
      <c r="F22" s="34">
        <f t="shared" si="1"/>
        <v>3636970</v>
      </c>
      <c r="G22" s="29"/>
      <c r="H22" s="50"/>
      <c r="I22" s="36">
        <f t="shared" si="2"/>
        <v>21659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91">
        <v>45881.0</v>
      </c>
      <c r="B23" s="43" t="s">
        <v>83</v>
      </c>
      <c r="C23" s="43" t="s">
        <v>316</v>
      </c>
      <c r="D23" s="52">
        <v>355571.0</v>
      </c>
      <c r="E23" s="111"/>
      <c r="F23" s="34">
        <f t="shared" si="1"/>
        <v>3992541</v>
      </c>
      <c r="G23" s="29"/>
      <c r="H23" s="28"/>
      <c r="I23" s="36">
        <f t="shared" si="2"/>
        <v>21659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91">
        <v>45881.0</v>
      </c>
      <c r="B24" s="43" t="s">
        <v>75</v>
      </c>
      <c r="C24" s="43" t="s">
        <v>317</v>
      </c>
      <c r="D24" s="52"/>
      <c r="E24" s="111">
        <v>1137200.0</v>
      </c>
      <c r="F24" s="34">
        <f t="shared" si="1"/>
        <v>2855341</v>
      </c>
      <c r="G24" s="29"/>
      <c r="H24" s="50"/>
      <c r="I24" s="36">
        <f t="shared" si="2"/>
        <v>21659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91">
        <v>45881.0</v>
      </c>
      <c r="B25" s="43" t="s">
        <v>75</v>
      </c>
      <c r="C25" s="48" t="s">
        <v>318</v>
      </c>
      <c r="D25" s="52"/>
      <c r="E25" s="111">
        <v>423500.0</v>
      </c>
      <c r="F25" s="34">
        <f t="shared" si="1"/>
        <v>2431841</v>
      </c>
      <c r="G25" s="50"/>
      <c r="H25" s="50"/>
      <c r="I25" s="36">
        <f t="shared" si="2"/>
        <v>21659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1">
        <v>45881.0</v>
      </c>
      <c r="B26" s="43" t="s">
        <v>75</v>
      </c>
      <c r="C26" s="48" t="s">
        <v>319</v>
      </c>
      <c r="D26" s="52"/>
      <c r="E26" s="111">
        <v>250000.0</v>
      </c>
      <c r="F26" s="34">
        <f t="shared" si="1"/>
        <v>2181841</v>
      </c>
      <c r="G26" s="50"/>
      <c r="H26" s="28"/>
      <c r="I26" s="36">
        <f t="shared" si="2"/>
        <v>21659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1">
        <v>45883.0</v>
      </c>
      <c r="B27" s="43" t="s">
        <v>91</v>
      </c>
      <c r="C27" s="43" t="s">
        <v>320</v>
      </c>
      <c r="D27" s="111"/>
      <c r="E27" s="111"/>
      <c r="F27" s="34">
        <f t="shared" si="1"/>
        <v>2181841</v>
      </c>
      <c r="G27" s="50">
        <v>3500.0</v>
      </c>
      <c r="H27" s="50"/>
      <c r="I27" s="36">
        <f t="shared" si="2"/>
        <v>25159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1">
        <v>45883.0</v>
      </c>
      <c r="B28" s="43" t="s">
        <v>91</v>
      </c>
      <c r="C28" s="43" t="s">
        <v>321</v>
      </c>
      <c r="D28" s="44"/>
      <c r="E28" s="111"/>
      <c r="F28" s="34">
        <f t="shared" si="1"/>
        <v>2181841</v>
      </c>
      <c r="G28" s="50">
        <v>6000.0</v>
      </c>
      <c r="H28" s="50"/>
      <c r="I28" s="36">
        <f t="shared" si="2"/>
        <v>31159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1">
        <v>45883.0</v>
      </c>
      <c r="B29" s="43" t="s">
        <v>83</v>
      </c>
      <c r="C29" s="43" t="s">
        <v>322</v>
      </c>
      <c r="D29" s="52">
        <v>560000.0</v>
      </c>
      <c r="E29" s="111"/>
      <c r="F29" s="34">
        <f t="shared" si="1"/>
        <v>2741841</v>
      </c>
      <c r="G29" s="29"/>
      <c r="H29" s="50"/>
      <c r="I29" s="36">
        <f t="shared" si="2"/>
        <v>31159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1">
        <v>45883.0</v>
      </c>
      <c r="B30" s="43" t="s">
        <v>88</v>
      </c>
      <c r="C30" s="43" t="s">
        <v>323</v>
      </c>
      <c r="D30" s="89"/>
      <c r="E30" s="111"/>
      <c r="F30" s="34">
        <f t="shared" si="1"/>
        <v>2741841</v>
      </c>
      <c r="G30" s="50"/>
      <c r="H30" s="50">
        <v>1095.0</v>
      </c>
      <c r="I30" s="36">
        <f t="shared" si="2"/>
        <v>30064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1">
        <v>45883.0</v>
      </c>
      <c r="B31" s="43" t="s">
        <v>88</v>
      </c>
      <c r="C31" s="43" t="s">
        <v>324</v>
      </c>
      <c r="D31" s="52"/>
      <c r="E31" s="111"/>
      <c r="F31" s="34">
        <f t="shared" si="1"/>
        <v>2741841</v>
      </c>
      <c r="G31" s="29"/>
      <c r="H31" s="28">
        <v>2160.0</v>
      </c>
      <c r="I31" s="36">
        <f t="shared" si="2"/>
        <v>27904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1">
        <v>45883.0</v>
      </c>
      <c r="B32" s="43" t="s">
        <v>75</v>
      </c>
      <c r="C32" s="43" t="s">
        <v>325</v>
      </c>
      <c r="D32" s="44"/>
      <c r="E32" s="111"/>
      <c r="F32" s="34">
        <f t="shared" si="1"/>
        <v>2741841</v>
      </c>
      <c r="G32" s="50"/>
      <c r="H32" s="50">
        <v>11600.0</v>
      </c>
      <c r="I32" s="36">
        <f t="shared" si="2"/>
        <v>16304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1">
        <v>45883.0</v>
      </c>
      <c r="B33" s="43" t="s">
        <v>83</v>
      </c>
      <c r="C33" s="43" t="s">
        <v>326</v>
      </c>
      <c r="D33" s="89"/>
      <c r="E33" s="111">
        <v>472500.0</v>
      </c>
      <c r="F33" s="34">
        <f t="shared" si="1"/>
        <v>2269341</v>
      </c>
      <c r="G33" s="50"/>
      <c r="H33" s="28"/>
      <c r="I33" s="36">
        <f t="shared" si="2"/>
        <v>16304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1">
        <v>45883.0</v>
      </c>
      <c r="B34" s="43" t="s">
        <v>75</v>
      </c>
      <c r="C34" s="48" t="s">
        <v>108</v>
      </c>
      <c r="D34" s="111"/>
      <c r="E34" s="111">
        <v>8000.0</v>
      </c>
      <c r="F34" s="34">
        <f t="shared" si="1"/>
        <v>2261341</v>
      </c>
      <c r="G34" s="50"/>
      <c r="H34" s="50"/>
      <c r="I34" s="36">
        <f t="shared" si="2"/>
        <v>16304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45883.0</v>
      </c>
      <c r="B35" s="43" t="s">
        <v>75</v>
      </c>
      <c r="C35" s="48" t="s">
        <v>327</v>
      </c>
      <c r="D35" s="44"/>
      <c r="E35" s="111">
        <v>26000.0</v>
      </c>
      <c r="F35" s="92">
        <f t="shared" si="1"/>
        <v>2235341</v>
      </c>
      <c r="G35" s="54"/>
      <c r="H35" s="54"/>
      <c r="I35" s="93">
        <f t="shared" si="2"/>
        <v>16304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45883.0</v>
      </c>
      <c r="B36" s="43" t="s">
        <v>75</v>
      </c>
      <c r="C36" s="43" t="s">
        <v>328</v>
      </c>
      <c r="D36" s="52"/>
      <c r="E36" s="111">
        <v>8000.0</v>
      </c>
      <c r="F36" s="34">
        <f t="shared" si="1"/>
        <v>2227341</v>
      </c>
      <c r="G36" s="50"/>
      <c r="H36" s="50"/>
      <c r="I36" s="36">
        <f t="shared" si="2"/>
        <v>16304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45883.0</v>
      </c>
      <c r="B37" s="43" t="s">
        <v>75</v>
      </c>
      <c r="C37" s="43" t="s">
        <v>329</v>
      </c>
      <c r="D37" s="52"/>
      <c r="E37" s="111">
        <v>5500.0</v>
      </c>
      <c r="F37" s="34">
        <f t="shared" si="1"/>
        <v>2221841</v>
      </c>
      <c r="G37" s="28"/>
      <c r="H37" s="50"/>
      <c r="I37" s="36">
        <f t="shared" si="2"/>
        <v>16304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1">
        <v>45887.0</v>
      </c>
      <c r="B38" s="43" t="s">
        <v>75</v>
      </c>
      <c r="C38" s="43" t="s">
        <v>330</v>
      </c>
      <c r="D38" s="44"/>
      <c r="E38" s="111">
        <v>200000.0</v>
      </c>
      <c r="F38" s="34">
        <f t="shared" si="1"/>
        <v>2021841</v>
      </c>
      <c r="G38" s="50"/>
      <c r="H38" s="28"/>
      <c r="I38" s="36">
        <f t="shared" si="2"/>
        <v>16304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1">
        <v>45887.0</v>
      </c>
      <c r="B39" s="43" t="s">
        <v>75</v>
      </c>
      <c r="C39" s="43" t="s">
        <v>328</v>
      </c>
      <c r="D39" s="52"/>
      <c r="E39" s="111">
        <v>2900.0</v>
      </c>
      <c r="F39" s="34">
        <f t="shared" si="1"/>
        <v>2018941</v>
      </c>
      <c r="G39" s="50"/>
      <c r="H39" s="29"/>
      <c r="I39" s="36">
        <f t="shared" si="2"/>
        <v>16304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1">
        <v>45888.0</v>
      </c>
      <c r="B40" s="43" t="s">
        <v>75</v>
      </c>
      <c r="C40" s="43" t="s">
        <v>331</v>
      </c>
      <c r="D40" s="89"/>
      <c r="E40" s="111">
        <v>43400.0</v>
      </c>
      <c r="F40" s="92">
        <f t="shared" si="1"/>
        <v>1975541</v>
      </c>
      <c r="G40" s="54"/>
      <c r="H40" s="97"/>
      <c r="I40" s="98">
        <f t="shared" si="2"/>
        <v>16304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91">
        <v>45888.0</v>
      </c>
      <c r="B41" s="43" t="s">
        <v>83</v>
      </c>
      <c r="C41" s="103" t="s">
        <v>332</v>
      </c>
      <c r="D41" s="102">
        <v>2601000.0</v>
      </c>
      <c r="E41" s="111"/>
      <c r="F41" s="34">
        <f t="shared" si="1"/>
        <v>4576541</v>
      </c>
      <c r="G41" s="29"/>
      <c r="H41" s="28"/>
      <c r="I41" s="36">
        <f t="shared" si="2"/>
        <v>16304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6">
        <v>45889.0</v>
      </c>
      <c r="B42" s="43" t="s">
        <v>75</v>
      </c>
      <c r="C42" s="43" t="s">
        <v>330</v>
      </c>
      <c r="D42" s="52"/>
      <c r="E42" s="111">
        <v>52000.0</v>
      </c>
      <c r="F42" s="34">
        <f t="shared" si="1"/>
        <v>4524541</v>
      </c>
      <c r="G42" s="29"/>
      <c r="H42" s="50"/>
      <c r="I42" s="36">
        <f t="shared" si="2"/>
        <v>16304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6">
        <v>45890.0</v>
      </c>
      <c r="B43" s="43" t="s">
        <v>75</v>
      </c>
      <c r="C43" s="43" t="s">
        <v>333</v>
      </c>
      <c r="D43" s="44"/>
      <c r="E43" s="111">
        <v>9600.0</v>
      </c>
      <c r="F43" s="34">
        <f t="shared" si="1"/>
        <v>4514941</v>
      </c>
      <c r="G43" s="50"/>
      <c r="H43" s="104">
        <v>10000.0</v>
      </c>
      <c r="I43" s="36">
        <f t="shared" si="2"/>
        <v>6304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6">
        <v>45890.0</v>
      </c>
      <c r="B44" s="43" t="s">
        <v>223</v>
      </c>
      <c r="C44" s="43" t="s">
        <v>334</v>
      </c>
      <c r="D44" s="52"/>
      <c r="E44" s="52">
        <v>1296774.0</v>
      </c>
      <c r="F44" s="34">
        <f t="shared" si="1"/>
        <v>3218167</v>
      </c>
      <c r="G44" s="50"/>
      <c r="H44" s="50">
        <v>560.0</v>
      </c>
      <c r="I44" s="36">
        <f t="shared" si="2"/>
        <v>5744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6">
        <v>45890.0</v>
      </c>
      <c r="B45" s="43" t="s">
        <v>223</v>
      </c>
      <c r="C45" s="43" t="s">
        <v>334</v>
      </c>
      <c r="D45" s="44"/>
      <c r="E45" s="111">
        <v>360215.0</v>
      </c>
      <c r="F45" s="34">
        <f t="shared" si="1"/>
        <v>2857952</v>
      </c>
      <c r="G45" s="29"/>
      <c r="H45" s="50"/>
      <c r="I45" s="36">
        <f t="shared" si="2"/>
        <v>5744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6">
        <v>45890.0</v>
      </c>
      <c r="B46" s="43" t="s">
        <v>223</v>
      </c>
      <c r="C46" s="43" t="s">
        <v>335</v>
      </c>
      <c r="D46" s="52"/>
      <c r="E46" s="111"/>
      <c r="F46" s="34">
        <f t="shared" si="1"/>
        <v>2857952</v>
      </c>
      <c r="G46" s="29"/>
      <c r="H46" s="50">
        <v>2250.0</v>
      </c>
      <c r="I46" s="36">
        <f t="shared" si="2"/>
        <v>3494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6">
        <v>45890.0</v>
      </c>
      <c r="B47" s="43" t="s">
        <v>75</v>
      </c>
      <c r="C47" s="48" t="s">
        <v>336</v>
      </c>
      <c r="D47" s="44"/>
      <c r="E47" s="111">
        <v>35000.0</v>
      </c>
      <c r="F47" s="34">
        <f t="shared" si="1"/>
        <v>2822952</v>
      </c>
      <c r="G47" s="50"/>
      <c r="H47" s="50"/>
      <c r="I47" s="36">
        <f t="shared" si="2"/>
        <v>3494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6">
        <v>45895.0</v>
      </c>
      <c r="B48" s="43" t="s">
        <v>75</v>
      </c>
      <c r="C48" s="43" t="s">
        <v>337</v>
      </c>
      <c r="D48" s="52">
        <v>667500.0</v>
      </c>
      <c r="E48" s="111"/>
      <c r="F48" s="34">
        <f t="shared" si="1"/>
        <v>3490452</v>
      </c>
      <c r="G48" s="29"/>
      <c r="H48" s="50">
        <v>500.0</v>
      </c>
      <c r="I48" s="36">
        <f t="shared" si="2"/>
        <v>2994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6">
        <v>45895.0</v>
      </c>
      <c r="B49" s="43" t="s">
        <v>223</v>
      </c>
      <c r="C49" s="43" t="s">
        <v>338</v>
      </c>
      <c r="D49" s="52"/>
      <c r="E49" s="111">
        <v>600000.0</v>
      </c>
      <c r="F49" s="34">
        <f t="shared" si="1"/>
        <v>2890452</v>
      </c>
      <c r="G49" s="29"/>
      <c r="H49" s="50"/>
      <c r="I49" s="36">
        <f t="shared" si="2"/>
        <v>2994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6">
        <v>45896.0</v>
      </c>
      <c r="B50" s="43" t="s">
        <v>91</v>
      </c>
      <c r="C50" s="43" t="s">
        <v>339</v>
      </c>
      <c r="D50" s="52">
        <v>414000.0</v>
      </c>
      <c r="E50" s="111"/>
      <c r="F50" s="34">
        <f t="shared" si="1"/>
        <v>3304452</v>
      </c>
      <c r="G50" s="50">
        <v>1600.0</v>
      </c>
      <c r="H50" s="50"/>
      <c r="I50" s="36">
        <f t="shared" si="2"/>
        <v>4594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6">
        <v>45896.0</v>
      </c>
      <c r="B51" s="43" t="s">
        <v>223</v>
      </c>
      <c r="C51" s="43" t="s">
        <v>340</v>
      </c>
      <c r="D51" s="44"/>
      <c r="E51" s="111">
        <v>120000.0</v>
      </c>
      <c r="F51" s="34">
        <f t="shared" si="1"/>
        <v>3184452</v>
      </c>
      <c r="G51" s="29"/>
      <c r="H51" s="50"/>
      <c r="I51" s="36">
        <f t="shared" si="2"/>
        <v>4594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6">
        <v>45896.0</v>
      </c>
      <c r="B52" s="43" t="s">
        <v>223</v>
      </c>
      <c r="C52" s="43" t="s">
        <v>341</v>
      </c>
      <c r="D52" s="44"/>
      <c r="E52" s="111">
        <v>70000.0</v>
      </c>
      <c r="F52" s="34">
        <f t="shared" si="1"/>
        <v>3114452</v>
      </c>
      <c r="G52" s="50"/>
      <c r="H52" s="29"/>
      <c r="I52" s="36">
        <f t="shared" si="2"/>
        <v>4594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6">
        <v>45897.0</v>
      </c>
      <c r="B53" s="43" t="s">
        <v>112</v>
      </c>
      <c r="C53" s="43" t="s">
        <v>342</v>
      </c>
      <c r="D53" s="52"/>
      <c r="E53" s="111"/>
      <c r="F53" s="34">
        <f t="shared" si="1"/>
        <v>3114452</v>
      </c>
      <c r="G53" s="50"/>
      <c r="H53" s="50">
        <v>400.0</v>
      </c>
      <c r="I53" s="36">
        <f t="shared" si="2"/>
        <v>4194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6">
        <v>45897.0</v>
      </c>
      <c r="B54" s="43" t="s">
        <v>223</v>
      </c>
      <c r="C54" s="43" t="s">
        <v>343</v>
      </c>
      <c r="D54" s="52"/>
      <c r="E54" s="111">
        <v>43000.0</v>
      </c>
      <c r="F54" s="34">
        <f t="shared" si="1"/>
        <v>3071452</v>
      </c>
      <c r="G54" s="50"/>
      <c r="H54" s="29"/>
      <c r="I54" s="36">
        <f t="shared" si="2"/>
        <v>4194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6">
        <v>45897.0</v>
      </c>
      <c r="B55" s="43" t="s">
        <v>223</v>
      </c>
      <c r="C55" s="43" t="s">
        <v>344</v>
      </c>
      <c r="D55" s="44"/>
      <c r="E55" s="111">
        <v>86450.0</v>
      </c>
      <c r="F55" s="34">
        <f t="shared" si="1"/>
        <v>2985002</v>
      </c>
      <c r="G55" s="29"/>
      <c r="H55" s="50"/>
      <c r="I55" s="36">
        <f t="shared" si="2"/>
        <v>4194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6">
        <v>45898.0</v>
      </c>
      <c r="B56" s="43" t="s">
        <v>75</v>
      </c>
      <c r="C56" s="43" t="s">
        <v>345</v>
      </c>
      <c r="D56" s="44"/>
      <c r="E56" s="111">
        <v>15400.0</v>
      </c>
      <c r="F56" s="34">
        <f t="shared" si="1"/>
        <v>2969602</v>
      </c>
      <c r="G56" s="50"/>
      <c r="H56" s="29"/>
      <c r="I56" s="36">
        <f t="shared" si="2"/>
        <v>4194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6">
        <v>45898.0</v>
      </c>
      <c r="B57" s="43" t="s">
        <v>223</v>
      </c>
      <c r="C57" s="43" t="s">
        <v>346</v>
      </c>
      <c r="D57" s="44"/>
      <c r="E57" s="111">
        <v>50000.0</v>
      </c>
      <c r="F57" s="34">
        <f t="shared" si="1"/>
        <v>2919602</v>
      </c>
      <c r="G57" s="50"/>
      <c r="H57" s="41"/>
      <c r="I57" s="36">
        <f t="shared" si="2"/>
        <v>4194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6">
        <v>45898.0</v>
      </c>
      <c r="B58" s="33" t="s">
        <v>223</v>
      </c>
      <c r="C58" s="43" t="s">
        <v>347</v>
      </c>
      <c r="D58" s="26"/>
      <c r="E58" s="87"/>
      <c r="F58" s="34">
        <f t="shared" si="1"/>
        <v>2919602</v>
      </c>
      <c r="G58" s="50"/>
      <c r="H58" s="50">
        <v>2300.0</v>
      </c>
      <c r="I58" s="36">
        <f t="shared" si="2"/>
        <v>1894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6">
        <v>45898.0</v>
      </c>
      <c r="B59" s="33" t="s">
        <v>223</v>
      </c>
      <c r="C59" s="43" t="s">
        <v>348</v>
      </c>
      <c r="D59" s="56"/>
      <c r="E59" s="41"/>
      <c r="F59" s="34">
        <f t="shared" si="1"/>
        <v>2919602</v>
      </c>
      <c r="G59" s="50"/>
      <c r="H59" s="50">
        <v>1080.0</v>
      </c>
      <c r="I59" s="36">
        <f t="shared" si="2"/>
        <v>814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6">
        <v>45898.0</v>
      </c>
      <c r="B60" s="33" t="s">
        <v>88</v>
      </c>
      <c r="C60" s="43" t="s">
        <v>349</v>
      </c>
      <c r="D60" s="26"/>
      <c r="E60" s="41"/>
      <c r="F60" s="34">
        <f t="shared" si="1"/>
        <v>2919602</v>
      </c>
      <c r="G60" s="50"/>
      <c r="H60" s="50">
        <v>540.0</v>
      </c>
      <c r="I60" s="36">
        <f t="shared" si="2"/>
        <v>274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6">
        <v>45898.0</v>
      </c>
      <c r="B61" s="33" t="s">
        <v>223</v>
      </c>
      <c r="C61" s="43" t="s">
        <v>239</v>
      </c>
      <c r="D61" s="26"/>
      <c r="E61" s="41"/>
      <c r="F61" s="34">
        <f t="shared" si="1"/>
        <v>2919602</v>
      </c>
      <c r="G61" s="50"/>
      <c r="H61" s="50">
        <v>100.0</v>
      </c>
      <c r="I61" s="36">
        <f t="shared" si="2"/>
        <v>174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5"/>
      <c r="B62" s="33"/>
      <c r="C62" s="43"/>
      <c r="D62" s="26"/>
      <c r="E62" s="84"/>
      <c r="F62" s="34">
        <f t="shared" si="1"/>
        <v>2919602</v>
      </c>
      <c r="G62" s="29"/>
      <c r="H62" s="50"/>
      <c r="I62" s="36">
        <f t="shared" si="2"/>
        <v>174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5"/>
      <c r="B63" s="33"/>
      <c r="C63" s="43"/>
      <c r="D63" s="26"/>
      <c r="E63" s="84"/>
      <c r="F63" s="34">
        <f t="shared" si="1"/>
        <v>2919602</v>
      </c>
      <c r="G63" s="50"/>
      <c r="H63" s="29"/>
      <c r="I63" s="36">
        <f t="shared" si="2"/>
        <v>174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5"/>
      <c r="B64" s="33"/>
      <c r="C64" s="43"/>
      <c r="D64" s="26"/>
      <c r="E64" s="84"/>
      <c r="F64" s="34">
        <f t="shared" si="1"/>
        <v>2919602</v>
      </c>
      <c r="G64" s="38"/>
      <c r="H64" s="50"/>
      <c r="I64" s="36">
        <f t="shared" si="2"/>
        <v>174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5"/>
      <c r="B65" s="33"/>
      <c r="C65" s="43"/>
      <c r="D65" s="26"/>
      <c r="E65" s="87"/>
      <c r="F65" s="34">
        <f t="shared" si="1"/>
        <v>2919602</v>
      </c>
      <c r="G65" s="28"/>
      <c r="H65" s="50"/>
      <c r="I65" s="36">
        <f t="shared" si="2"/>
        <v>174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5"/>
      <c r="B66" s="33"/>
      <c r="C66" s="43"/>
      <c r="D66" s="26"/>
      <c r="E66" s="84"/>
      <c r="F66" s="34">
        <f t="shared" si="1"/>
        <v>2919602</v>
      </c>
      <c r="G66" s="38"/>
      <c r="H66" s="50"/>
      <c r="I66" s="36">
        <f t="shared" si="2"/>
        <v>174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5"/>
      <c r="B67" s="33"/>
      <c r="C67" s="43"/>
      <c r="D67" s="26"/>
      <c r="E67" s="87"/>
      <c r="F67" s="34">
        <f t="shared" si="1"/>
        <v>2919602</v>
      </c>
      <c r="G67" s="38"/>
      <c r="H67" s="29"/>
      <c r="I67" s="36">
        <f t="shared" si="2"/>
        <v>174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5"/>
      <c r="B68" s="33"/>
      <c r="C68" s="43"/>
      <c r="D68" s="56"/>
      <c r="E68" s="84"/>
      <c r="F68" s="34">
        <f t="shared" si="1"/>
        <v>2919602</v>
      </c>
      <c r="G68" s="38"/>
      <c r="H68" s="29"/>
      <c r="I68" s="36">
        <f t="shared" si="2"/>
        <v>174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5"/>
      <c r="B69" s="33"/>
      <c r="C69" s="43"/>
      <c r="D69" s="26"/>
      <c r="E69" s="87"/>
      <c r="F69" s="34">
        <f t="shared" si="1"/>
        <v>2919602</v>
      </c>
      <c r="G69" s="29"/>
      <c r="H69" s="29"/>
      <c r="I69" s="36">
        <f t="shared" si="2"/>
        <v>174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5"/>
      <c r="B70" s="33"/>
      <c r="C70" s="43"/>
      <c r="D70" s="26"/>
      <c r="E70" s="87"/>
      <c r="F70" s="34">
        <f t="shared" si="1"/>
        <v>2919602</v>
      </c>
      <c r="G70" s="29"/>
      <c r="H70" s="29"/>
      <c r="I70" s="36">
        <f t="shared" si="2"/>
        <v>174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5"/>
      <c r="B71" s="33"/>
      <c r="C71" s="43"/>
      <c r="D71" s="26"/>
      <c r="E71" s="84"/>
      <c r="F71" s="34">
        <f t="shared" si="1"/>
        <v>2919602</v>
      </c>
      <c r="G71" s="29"/>
      <c r="H71" s="50"/>
      <c r="I71" s="36">
        <f t="shared" si="2"/>
        <v>174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5"/>
      <c r="B72" s="33"/>
      <c r="C72" s="43"/>
      <c r="D72" s="26"/>
      <c r="E72" s="87"/>
      <c r="F72" s="34">
        <f t="shared" si="1"/>
        <v>2919602</v>
      </c>
      <c r="G72" s="29"/>
      <c r="H72" s="50"/>
      <c r="I72" s="36">
        <f t="shared" si="2"/>
        <v>174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5"/>
      <c r="B73" s="33"/>
      <c r="C73" s="43"/>
      <c r="D73" s="26"/>
      <c r="E73" s="87"/>
      <c r="F73" s="34">
        <f t="shared" si="1"/>
        <v>2919602</v>
      </c>
      <c r="G73" s="29"/>
      <c r="H73" s="50"/>
      <c r="I73" s="36">
        <f t="shared" si="2"/>
        <v>174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5"/>
      <c r="B74" s="33"/>
      <c r="C74" s="43"/>
      <c r="D74" s="26"/>
      <c r="E74" s="84"/>
      <c r="F74" s="34">
        <f t="shared" si="1"/>
        <v>2919602</v>
      </c>
      <c r="G74" s="29"/>
      <c r="H74" s="50"/>
      <c r="I74" s="36">
        <f t="shared" si="2"/>
        <v>174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/>
      <c r="B75" s="33"/>
      <c r="C75" s="43"/>
      <c r="D75" s="26"/>
      <c r="E75" s="87"/>
      <c r="F75" s="34">
        <f t="shared" si="1"/>
        <v>2919602</v>
      </c>
      <c r="G75" s="29"/>
      <c r="H75" s="50"/>
      <c r="I75" s="36">
        <f t="shared" si="2"/>
        <v>174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/>
      <c r="B76" s="33"/>
      <c r="C76" s="43"/>
      <c r="D76" s="26"/>
      <c r="E76" s="84"/>
      <c r="F76" s="34">
        <f t="shared" si="1"/>
        <v>2919602</v>
      </c>
      <c r="G76" s="29"/>
      <c r="H76" s="50"/>
      <c r="I76" s="36">
        <f t="shared" si="2"/>
        <v>174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/>
      <c r="B77" s="33"/>
      <c r="C77" s="43"/>
      <c r="D77" s="26"/>
      <c r="E77" s="84"/>
      <c r="F77" s="34">
        <f t="shared" si="1"/>
        <v>2919602</v>
      </c>
      <c r="G77" s="50"/>
      <c r="H77" s="50"/>
      <c r="I77" s="36">
        <f t="shared" si="2"/>
        <v>174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5"/>
      <c r="B78" s="33"/>
      <c r="C78" s="43"/>
      <c r="D78" s="26"/>
      <c r="E78" s="84"/>
      <c r="F78" s="34">
        <f t="shared" si="1"/>
        <v>2919602</v>
      </c>
      <c r="G78" s="50"/>
      <c r="H78" s="50"/>
      <c r="I78" s="36">
        <f t="shared" si="2"/>
        <v>174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5"/>
      <c r="B79" s="33"/>
      <c r="C79" s="43"/>
      <c r="D79" s="26"/>
      <c r="E79" s="84"/>
      <c r="F79" s="34">
        <f t="shared" si="1"/>
        <v>2919602</v>
      </c>
      <c r="G79" s="29"/>
      <c r="H79" s="50"/>
      <c r="I79" s="36">
        <f t="shared" si="2"/>
        <v>174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/>
      <c r="B80" s="33"/>
      <c r="C80" s="43"/>
      <c r="D80" s="26"/>
      <c r="E80" s="84"/>
      <c r="F80" s="34">
        <f t="shared" si="1"/>
        <v>2919602</v>
      </c>
      <c r="G80" s="50"/>
      <c r="H80" s="50"/>
      <c r="I80" s="36">
        <f t="shared" si="2"/>
        <v>174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/>
      <c r="B81" s="33"/>
      <c r="C81" s="43"/>
      <c r="D81" s="26"/>
      <c r="E81" s="84"/>
      <c r="F81" s="34">
        <f t="shared" si="1"/>
        <v>2919602</v>
      </c>
      <c r="G81" s="29"/>
      <c r="H81" s="50"/>
      <c r="I81" s="36">
        <f t="shared" si="2"/>
        <v>174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43"/>
      <c r="D82" s="26"/>
      <c r="E82" s="84"/>
      <c r="F82" s="34">
        <f t="shared" si="1"/>
        <v>2919602</v>
      </c>
      <c r="G82" s="29"/>
      <c r="H82" s="50"/>
      <c r="I82" s="36">
        <f t="shared" si="2"/>
        <v>174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6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6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6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6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6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3"/>
      <c r="E88" s="6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3"/>
      <c r="E89" s="6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3"/>
      <c r="E90" s="6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3"/>
      <c r="E91" s="6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3"/>
      <c r="E92" s="6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3"/>
      <c r="E93" s="6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3"/>
      <c r="E94" s="6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3"/>
      <c r="E95" s="6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3"/>
      <c r="E96" s="6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3"/>
      <c r="E97" s="6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3"/>
      <c r="E98" s="6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6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6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6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6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6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6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6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6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6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6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6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6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6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6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6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6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6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6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6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6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6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6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6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6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6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6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6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6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6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6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6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6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6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6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6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6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6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6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6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6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6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6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6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6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6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6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6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6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6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6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6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6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6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6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6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6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6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6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6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6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6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6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6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6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6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6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6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6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6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6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6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6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6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6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6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6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6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6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6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6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6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6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6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6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6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6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6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6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6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6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6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6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6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6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6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6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6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6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6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6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6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6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6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6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6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6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6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6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6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6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6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6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6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6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6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6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6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6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6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6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6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6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6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6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6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6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6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6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6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6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6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6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6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6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6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6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6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6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6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6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6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6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6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6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6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6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6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6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6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6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6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6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6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6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6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6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6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6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6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6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6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6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6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6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6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6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6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6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6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6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6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6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6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6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6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6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6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6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6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6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6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6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6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6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6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6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6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6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6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6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6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6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6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6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6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6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6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6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6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6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6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6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6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6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6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6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6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6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6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6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6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6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6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6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6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6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6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6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6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6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6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6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6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6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6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6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6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6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6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6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6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6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6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6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6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6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6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6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6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6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6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6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6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6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6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6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6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6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6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6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6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6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6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6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6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6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6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6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6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6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6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6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6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6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6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6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6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6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6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6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6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6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6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6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6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6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6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6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6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6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6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6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6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6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6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6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6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6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6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6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6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6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6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6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6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6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6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6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6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6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6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6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6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6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6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6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6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6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6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6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6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6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6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6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6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6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6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6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6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6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6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6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6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6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6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6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6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6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6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6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6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6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6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6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6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6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6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6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6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6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6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6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6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6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6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6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6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6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6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6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6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6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6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6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6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6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6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6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6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6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6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6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6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6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6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6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6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6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6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6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6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6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6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6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6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6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6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6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6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6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6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6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6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6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6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6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6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6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6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6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6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6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6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6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6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6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6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6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6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6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6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6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6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6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6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6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6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6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6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6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6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6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6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6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6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6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6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6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6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6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6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6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6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6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6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6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6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6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6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6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6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6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6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6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6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6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6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6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6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6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6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6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6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6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6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6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6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6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6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6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6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6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6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6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6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6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6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6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6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6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6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6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6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6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6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6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6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6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6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6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6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6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6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6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6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6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6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6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6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6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6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6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6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6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6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6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6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6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6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6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6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6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6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6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6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6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6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6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6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6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6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6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6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6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6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6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6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6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6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6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6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6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6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6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6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6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6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6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6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6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6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6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6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6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6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6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6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6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6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6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6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6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6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6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6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6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6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6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6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6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6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6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6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6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6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6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6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6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6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6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6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6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6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6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6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6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6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6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6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6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6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6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6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6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6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6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6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6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6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6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6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6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6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6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6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6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6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6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6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6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6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6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6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6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6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6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6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6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6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6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6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6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6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6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6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6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6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6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6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6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6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6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6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6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6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6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6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6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6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6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6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6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6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6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6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6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6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6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6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6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6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6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6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6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6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6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6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6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6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6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6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6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6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6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6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6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6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6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6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6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6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6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6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6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6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6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6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6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6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6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6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6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6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6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6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6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6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6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6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6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6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6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6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6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6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6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6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6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6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6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6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6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6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6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6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6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6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6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6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6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6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6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6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6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6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6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6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6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6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6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6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6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6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6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6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6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6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6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6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6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6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6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6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6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6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6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6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6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6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6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6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6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6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6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6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6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6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6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6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6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6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6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6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6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6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6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6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6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6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6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6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6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6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6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6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6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6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6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6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6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6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6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6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6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6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6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6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6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6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6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6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6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6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6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6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6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6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6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6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6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6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6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6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6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6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6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6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6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6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6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6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6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6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6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6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6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6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6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6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6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6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6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6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6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6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6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6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6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6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6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6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6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6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6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6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6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6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6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6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6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6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6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6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6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6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6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6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6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6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6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6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6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6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6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6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6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6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6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6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6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6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6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6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6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6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6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6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6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6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6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6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6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6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6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6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6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6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6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6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6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6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6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6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6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6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6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6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6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6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6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6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6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6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6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6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6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6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6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6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6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6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6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6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6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6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6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6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6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6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6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6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6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6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6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6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6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6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6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6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6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6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6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6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6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6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6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6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6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6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6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6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6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6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6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6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6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6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6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6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6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6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6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6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6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6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6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69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69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69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69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69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69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69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69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69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69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69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69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69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69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6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5.38"/>
  </cols>
  <sheetData>
    <row r="1">
      <c r="A1" s="1" t="s">
        <v>350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15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/>
      <c r="B5" s="33"/>
      <c r="C5" s="43" t="s">
        <v>9</v>
      </c>
      <c r="D5" s="56">
        <v>2919602.0</v>
      </c>
      <c r="E5" s="84"/>
      <c r="F5" s="34">
        <f t="shared" ref="F5:F82" si="1">F4+D5-E5</f>
        <v>2919602</v>
      </c>
      <c r="G5" s="28"/>
      <c r="H5" s="29"/>
      <c r="I5" s="78">
        <v>174.0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10">
        <v>45901.0</v>
      </c>
      <c r="B6" s="43" t="s">
        <v>196</v>
      </c>
      <c r="C6" s="43" t="s">
        <v>351</v>
      </c>
      <c r="D6" s="52"/>
      <c r="E6" s="111"/>
      <c r="F6" s="34">
        <f t="shared" si="1"/>
        <v>2919602</v>
      </c>
      <c r="G6" s="28">
        <v>10000.0</v>
      </c>
      <c r="H6" s="50"/>
      <c r="I6" s="36">
        <f t="shared" ref="I6:I82" si="2">I5+G6-H6</f>
        <v>10174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10">
        <v>45901.0</v>
      </c>
      <c r="B7" s="43" t="s">
        <v>75</v>
      </c>
      <c r="C7" s="43" t="s">
        <v>352</v>
      </c>
      <c r="D7" s="52"/>
      <c r="E7" s="111">
        <v>10000.0</v>
      </c>
      <c r="F7" s="34">
        <f t="shared" si="1"/>
        <v>2909602</v>
      </c>
      <c r="G7" s="50"/>
      <c r="H7" s="28"/>
      <c r="I7" s="36">
        <f t="shared" si="2"/>
        <v>10174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10">
        <v>45902.0</v>
      </c>
      <c r="B8" s="43" t="s">
        <v>196</v>
      </c>
      <c r="C8" s="43" t="s">
        <v>353</v>
      </c>
      <c r="D8" s="89"/>
      <c r="E8" s="111">
        <v>330000.0</v>
      </c>
      <c r="F8" s="34">
        <f t="shared" si="1"/>
        <v>2579602</v>
      </c>
      <c r="G8" s="50"/>
      <c r="H8" s="28"/>
      <c r="I8" s="36">
        <f t="shared" si="2"/>
        <v>10174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0">
        <v>45902.0</v>
      </c>
      <c r="B9" s="43" t="s">
        <v>75</v>
      </c>
      <c r="C9" s="48" t="s">
        <v>108</v>
      </c>
      <c r="D9" s="111"/>
      <c r="E9" s="111">
        <v>8000.0</v>
      </c>
      <c r="F9" s="34">
        <f t="shared" si="1"/>
        <v>2571602</v>
      </c>
      <c r="G9" s="29"/>
      <c r="H9" s="50"/>
      <c r="I9" s="36">
        <f t="shared" si="2"/>
        <v>10174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0">
        <v>45902.0</v>
      </c>
      <c r="B10" s="43" t="s">
        <v>91</v>
      </c>
      <c r="C10" s="43" t="s">
        <v>354</v>
      </c>
      <c r="D10" s="44"/>
      <c r="E10" s="111"/>
      <c r="F10" s="34">
        <f t="shared" si="1"/>
        <v>2571602</v>
      </c>
      <c r="G10" s="50">
        <v>3000.0</v>
      </c>
      <c r="H10" s="50"/>
      <c r="I10" s="36">
        <f t="shared" si="2"/>
        <v>13174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0">
        <v>45903.0</v>
      </c>
      <c r="B11" s="43" t="s">
        <v>112</v>
      </c>
      <c r="C11" s="48" t="s">
        <v>355</v>
      </c>
      <c r="D11" s="52"/>
      <c r="E11" s="111"/>
      <c r="F11" s="34">
        <f t="shared" si="1"/>
        <v>2571602</v>
      </c>
      <c r="G11" s="50"/>
      <c r="H11" s="50">
        <v>1750.0</v>
      </c>
      <c r="I11" s="36">
        <f t="shared" si="2"/>
        <v>11424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10">
        <v>45903.0</v>
      </c>
      <c r="B12" s="43" t="s">
        <v>112</v>
      </c>
      <c r="C12" s="48" t="s">
        <v>356</v>
      </c>
      <c r="D12" s="52"/>
      <c r="E12" s="107"/>
      <c r="F12" s="34">
        <f t="shared" si="1"/>
        <v>2571602</v>
      </c>
      <c r="G12" s="50"/>
      <c r="H12" s="50">
        <v>1500.0</v>
      </c>
      <c r="I12" s="36">
        <f t="shared" si="2"/>
        <v>9924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10">
        <v>45903.0</v>
      </c>
      <c r="B13" s="43" t="s">
        <v>112</v>
      </c>
      <c r="C13" s="48" t="s">
        <v>357</v>
      </c>
      <c r="D13" s="52"/>
      <c r="E13" s="111"/>
      <c r="F13" s="34">
        <f t="shared" si="1"/>
        <v>2571602</v>
      </c>
      <c r="G13" s="50"/>
      <c r="H13" s="28">
        <v>1750.0</v>
      </c>
      <c r="I13" s="36">
        <f t="shared" si="2"/>
        <v>8174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10">
        <v>45903.0</v>
      </c>
      <c r="B14" s="43" t="s">
        <v>223</v>
      </c>
      <c r="C14" s="43" t="s">
        <v>358</v>
      </c>
      <c r="D14" s="44"/>
      <c r="E14" s="111">
        <v>40000.0</v>
      </c>
      <c r="F14" s="34">
        <f t="shared" si="1"/>
        <v>2531602</v>
      </c>
      <c r="G14" s="38"/>
      <c r="H14" s="50"/>
      <c r="I14" s="36">
        <f t="shared" si="2"/>
        <v>8174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10">
        <v>45903.0</v>
      </c>
      <c r="B15" s="43" t="s">
        <v>112</v>
      </c>
      <c r="C15" s="48" t="s">
        <v>302</v>
      </c>
      <c r="D15" s="52"/>
      <c r="E15" s="111">
        <v>811537.0</v>
      </c>
      <c r="F15" s="34">
        <f t="shared" si="1"/>
        <v>1720065</v>
      </c>
      <c r="G15" s="50"/>
      <c r="H15" s="38"/>
      <c r="I15" s="36">
        <f t="shared" si="2"/>
        <v>8174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10">
        <v>45903.0</v>
      </c>
      <c r="B16" s="43" t="s">
        <v>112</v>
      </c>
      <c r="C16" s="48" t="s">
        <v>303</v>
      </c>
      <c r="D16" s="52"/>
      <c r="E16" s="111">
        <v>1119229.0</v>
      </c>
      <c r="F16" s="34">
        <f t="shared" si="1"/>
        <v>600836</v>
      </c>
      <c r="G16" s="50"/>
      <c r="H16" s="50"/>
      <c r="I16" s="36">
        <f t="shared" si="2"/>
        <v>8174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10">
        <v>45903.0</v>
      </c>
      <c r="B17" s="43" t="s">
        <v>75</v>
      </c>
      <c r="C17" s="43" t="s">
        <v>330</v>
      </c>
      <c r="D17" s="52"/>
      <c r="E17" s="111">
        <v>200000.0</v>
      </c>
      <c r="F17" s="34">
        <f t="shared" si="1"/>
        <v>400836</v>
      </c>
      <c r="G17" s="50"/>
      <c r="H17" s="50"/>
      <c r="I17" s="36">
        <f t="shared" si="2"/>
        <v>8174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10">
        <v>45903.0</v>
      </c>
      <c r="B18" s="43" t="s">
        <v>55</v>
      </c>
      <c r="C18" s="48" t="s">
        <v>255</v>
      </c>
      <c r="D18" s="52"/>
      <c r="E18" s="111">
        <v>447000.0</v>
      </c>
      <c r="F18" s="34">
        <f t="shared" si="1"/>
        <v>-46164</v>
      </c>
      <c r="G18" s="54"/>
      <c r="H18" s="50"/>
      <c r="I18" s="36">
        <f t="shared" si="2"/>
        <v>8174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10">
        <v>45903.0</v>
      </c>
      <c r="B19" s="43" t="s">
        <v>83</v>
      </c>
      <c r="C19" s="43" t="s">
        <v>359</v>
      </c>
      <c r="D19" s="111">
        <v>386400.0</v>
      </c>
      <c r="E19" s="111"/>
      <c r="F19" s="34">
        <f t="shared" si="1"/>
        <v>340236</v>
      </c>
      <c r="G19" s="50"/>
      <c r="H19" s="50"/>
      <c r="I19" s="36">
        <f t="shared" si="2"/>
        <v>8174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91">
        <v>45904.0</v>
      </c>
      <c r="B20" s="43" t="s">
        <v>53</v>
      </c>
      <c r="C20" s="43" t="s">
        <v>360</v>
      </c>
      <c r="D20" s="52">
        <v>2660000.0</v>
      </c>
      <c r="E20" s="111"/>
      <c r="F20" s="34">
        <f t="shared" si="1"/>
        <v>3000236</v>
      </c>
      <c r="G20" s="50"/>
      <c r="H20" s="50">
        <v>2000.0</v>
      </c>
      <c r="I20" s="36">
        <f t="shared" si="2"/>
        <v>6174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91">
        <v>45904.0</v>
      </c>
      <c r="B21" s="43" t="s">
        <v>75</v>
      </c>
      <c r="C21" s="48" t="s">
        <v>361</v>
      </c>
      <c r="D21" s="44"/>
      <c r="E21" s="111">
        <v>9500.0</v>
      </c>
      <c r="F21" s="34">
        <f t="shared" si="1"/>
        <v>2990736</v>
      </c>
      <c r="G21" s="54"/>
      <c r="H21" s="54"/>
      <c r="I21" s="36">
        <f t="shared" si="2"/>
        <v>6174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91">
        <v>45904.0</v>
      </c>
      <c r="B22" s="43" t="s">
        <v>223</v>
      </c>
      <c r="C22" s="43" t="s">
        <v>362</v>
      </c>
      <c r="D22" s="44"/>
      <c r="E22" s="111"/>
      <c r="F22" s="34">
        <f t="shared" si="1"/>
        <v>2990736</v>
      </c>
      <c r="G22" s="29"/>
      <c r="H22" s="50">
        <v>200.0</v>
      </c>
      <c r="I22" s="36">
        <f t="shared" si="2"/>
        <v>5974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91">
        <v>45905.0</v>
      </c>
      <c r="B23" s="43" t="s">
        <v>83</v>
      </c>
      <c r="C23" s="43" t="s">
        <v>363</v>
      </c>
      <c r="D23" s="52">
        <v>500400.0</v>
      </c>
      <c r="E23" s="111"/>
      <c r="F23" s="34">
        <f t="shared" si="1"/>
        <v>3491136</v>
      </c>
      <c r="G23" s="29"/>
      <c r="H23" s="28"/>
      <c r="I23" s="36">
        <f t="shared" si="2"/>
        <v>5974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91">
        <v>45905.0</v>
      </c>
      <c r="B24" s="43" t="s">
        <v>88</v>
      </c>
      <c r="C24" s="43" t="s">
        <v>364</v>
      </c>
      <c r="D24" s="52"/>
      <c r="E24" s="111"/>
      <c r="F24" s="34">
        <f t="shared" si="1"/>
        <v>3491136</v>
      </c>
      <c r="G24" s="29"/>
      <c r="H24" s="50">
        <v>1080.0</v>
      </c>
      <c r="I24" s="36">
        <f t="shared" si="2"/>
        <v>4894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91">
        <v>45905.0</v>
      </c>
      <c r="B25" s="43" t="s">
        <v>83</v>
      </c>
      <c r="C25" s="43" t="s">
        <v>365</v>
      </c>
      <c r="D25" s="52"/>
      <c r="E25" s="111"/>
      <c r="F25" s="34">
        <f t="shared" si="1"/>
        <v>3491136</v>
      </c>
      <c r="G25" s="50">
        <v>250.0</v>
      </c>
      <c r="H25" s="50"/>
      <c r="I25" s="36">
        <f t="shared" si="2"/>
        <v>5144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1">
        <v>45908.0</v>
      </c>
      <c r="B26" s="43" t="s">
        <v>83</v>
      </c>
      <c r="C26" s="43" t="s">
        <v>366</v>
      </c>
      <c r="D26" s="52"/>
      <c r="E26" s="111"/>
      <c r="F26" s="34">
        <f t="shared" si="1"/>
        <v>3491136</v>
      </c>
      <c r="G26" s="50">
        <v>260.0</v>
      </c>
      <c r="H26" s="28"/>
      <c r="I26" s="36">
        <f t="shared" si="2"/>
        <v>5404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1">
        <v>45908.0</v>
      </c>
      <c r="B27" s="43" t="s">
        <v>253</v>
      </c>
      <c r="C27" s="43" t="s">
        <v>367</v>
      </c>
      <c r="D27" s="111"/>
      <c r="E27" s="111">
        <v>1061320.0</v>
      </c>
      <c r="F27" s="34">
        <f t="shared" si="1"/>
        <v>2429816</v>
      </c>
      <c r="G27" s="50"/>
      <c r="H27" s="50"/>
      <c r="I27" s="36">
        <f t="shared" si="2"/>
        <v>5404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1">
        <v>45908.0</v>
      </c>
      <c r="B28" s="43" t="s">
        <v>253</v>
      </c>
      <c r="C28" s="43" t="s">
        <v>368</v>
      </c>
      <c r="D28" s="44"/>
      <c r="E28" s="111">
        <v>1137150.0</v>
      </c>
      <c r="F28" s="34">
        <f t="shared" si="1"/>
        <v>1292666</v>
      </c>
      <c r="G28" s="50"/>
      <c r="H28" s="50"/>
      <c r="I28" s="36">
        <f t="shared" si="2"/>
        <v>5404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1">
        <v>45908.0</v>
      </c>
      <c r="B29" s="43" t="s">
        <v>83</v>
      </c>
      <c r="C29" s="43" t="s">
        <v>369</v>
      </c>
      <c r="D29" s="52"/>
      <c r="E29" s="111"/>
      <c r="F29" s="34">
        <f t="shared" si="1"/>
        <v>1292666</v>
      </c>
      <c r="G29" s="50">
        <v>750.0</v>
      </c>
      <c r="H29" s="50"/>
      <c r="I29" s="36">
        <f t="shared" si="2"/>
        <v>6154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1">
        <v>45909.0</v>
      </c>
      <c r="B30" s="43" t="s">
        <v>83</v>
      </c>
      <c r="C30" s="43" t="s">
        <v>370</v>
      </c>
      <c r="D30" s="89"/>
      <c r="E30" s="111"/>
      <c r="F30" s="34">
        <f t="shared" si="1"/>
        <v>1292666</v>
      </c>
      <c r="G30" s="50">
        <v>300.0</v>
      </c>
      <c r="H30" s="50"/>
      <c r="I30" s="36">
        <f t="shared" si="2"/>
        <v>6454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1">
        <v>45909.0</v>
      </c>
      <c r="B31" s="43" t="s">
        <v>83</v>
      </c>
      <c r="C31" s="43" t="s">
        <v>371</v>
      </c>
      <c r="D31" s="52"/>
      <c r="E31" s="111"/>
      <c r="F31" s="34">
        <f t="shared" si="1"/>
        <v>1292666</v>
      </c>
      <c r="G31" s="50">
        <v>166.0</v>
      </c>
      <c r="H31" s="28"/>
      <c r="I31" s="36">
        <f t="shared" si="2"/>
        <v>6620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1">
        <v>45909.0</v>
      </c>
      <c r="B32" s="43" t="s">
        <v>83</v>
      </c>
      <c r="C32" s="43" t="s">
        <v>372</v>
      </c>
      <c r="D32" s="44"/>
      <c r="E32" s="111"/>
      <c r="F32" s="34">
        <f t="shared" si="1"/>
        <v>1292666</v>
      </c>
      <c r="G32" s="50">
        <v>400.0</v>
      </c>
      <c r="H32" s="50"/>
      <c r="I32" s="36">
        <f t="shared" si="2"/>
        <v>7020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1">
        <v>45909.0</v>
      </c>
      <c r="B33" s="43" t="s">
        <v>83</v>
      </c>
      <c r="C33" s="43" t="s">
        <v>373</v>
      </c>
      <c r="D33" s="89"/>
      <c r="E33" s="111"/>
      <c r="F33" s="34">
        <f t="shared" si="1"/>
        <v>1292666</v>
      </c>
      <c r="G33" s="50">
        <v>3250.0</v>
      </c>
      <c r="H33" s="28"/>
      <c r="I33" s="36">
        <f t="shared" si="2"/>
        <v>10270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1">
        <v>45910.0</v>
      </c>
      <c r="B34" s="43" t="s">
        <v>83</v>
      </c>
      <c r="C34" s="43" t="s">
        <v>374</v>
      </c>
      <c r="D34" s="111">
        <v>369200.0</v>
      </c>
      <c r="E34" s="111"/>
      <c r="F34" s="34">
        <f t="shared" si="1"/>
        <v>1661866</v>
      </c>
      <c r="G34" s="50"/>
      <c r="H34" s="50"/>
      <c r="I34" s="36">
        <f t="shared" si="2"/>
        <v>10270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45910.0</v>
      </c>
      <c r="B35" s="43" t="s">
        <v>83</v>
      </c>
      <c r="C35" s="43" t="s">
        <v>375</v>
      </c>
      <c r="D35" s="44"/>
      <c r="E35" s="111"/>
      <c r="F35" s="92">
        <f t="shared" si="1"/>
        <v>1661866</v>
      </c>
      <c r="G35" s="54">
        <v>300.0</v>
      </c>
      <c r="H35" s="54"/>
      <c r="I35" s="93">
        <f t="shared" si="2"/>
        <v>10570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45910.0</v>
      </c>
      <c r="B36" s="43" t="s">
        <v>218</v>
      </c>
      <c r="C36" s="48" t="s">
        <v>376</v>
      </c>
      <c r="D36" s="52"/>
      <c r="E36" s="111">
        <v>350000.0</v>
      </c>
      <c r="F36" s="34">
        <f t="shared" si="1"/>
        <v>1311866</v>
      </c>
      <c r="G36" s="50"/>
      <c r="H36" s="50"/>
      <c r="I36" s="36">
        <f t="shared" si="2"/>
        <v>10570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45911.0</v>
      </c>
      <c r="B37" s="43" t="s">
        <v>75</v>
      </c>
      <c r="C37" s="48" t="s">
        <v>377</v>
      </c>
      <c r="D37" s="52"/>
      <c r="E37" s="111">
        <v>220000.0</v>
      </c>
      <c r="F37" s="34">
        <f t="shared" si="1"/>
        <v>1091866</v>
      </c>
      <c r="G37" s="28"/>
      <c r="H37" s="50"/>
      <c r="I37" s="36">
        <f t="shared" si="2"/>
        <v>10570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1">
        <v>45911.0</v>
      </c>
      <c r="B38" s="43" t="s">
        <v>83</v>
      </c>
      <c r="C38" s="43" t="s">
        <v>378</v>
      </c>
      <c r="D38" s="52">
        <v>764000.0</v>
      </c>
      <c r="E38" s="111"/>
      <c r="F38" s="34">
        <f t="shared" si="1"/>
        <v>1855866</v>
      </c>
      <c r="G38" s="50"/>
      <c r="H38" s="28"/>
      <c r="I38" s="36">
        <f t="shared" si="2"/>
        <v>10570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1">
        <v>45911.0</v>
      </c>
      <c r="B39" s="43" t="s">
        <v>379</v>
      </c>
      <c r="C39" s="43" t="s">
        <v>380</v>
      </c>
      <c r="D39" s="52"/>
      <c r="E39" s="111"/>
      <c r="F39" s="34">
        <f t="shared" si="1"/>
        <v>1855866</v>
      </c>
      <c r="G39" s="50">
        <v>3500.0</v>
      </c>
      <c r="H39" s="29"/>
      <c r="I39" s="36">
        <f t="shared" si="2"/>
        <v>14070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1">
        <v>45911.0</v>
      </c>
      <c r="B40" s="43" t="s">
        <v>253</v>
      </c>
      <c r="C40" s="43" t="s">
        <v>381</v>
      </c>
      <c r="D40" s="89"/>
      <c r="E40" s="111"/>
      <c r="F40" s="92">
        <f t="shared" si="1"/>
        <v>1855866</v>
      </c>
      <c r="G40" s="54"/>
      <c r="H40" s="97">
        <v>1120.0</v>
      </c>
      <c r="I40" s="98">
        <f t="shared" si="2"/>
        <v>12950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91">
        <v>45912.0</v>
      </c>
      <c r="B41" s="43" t="s">
        <v>196</v>
      </c>
      <c r="C41" s="103" t="s">
        <v>382</v>
      </c>
      <c r="D41" s="102"/>
      <c r="E41" s="111"/>
      <c r="F41" s="34">
        <f t="shared" si="1"/>
        <v>1855866</v>
      </c>
      <c r="G41" s="28">
        <v>30000.0</v>
      </c>
      <c r="H41" s="28"/>
      <c r="I41" s="36">
        <f t="shared" si="2"/>
        <v>42950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16">
        <v>45912.0</v>
      </c>
      <c r="B42" s="101" t="s">
        <v>253</v>
      </c>
      <c r="C42" s="101" t="s">
        <v>383</v>
      </c>
      <c r="D42" s="117"/>
      <c r="E42" s="118"/>
      <c r="F42" s="34">
        <f t="shared" si="1"/>
        <v>1855866</v>
      </c>
      <c r="G42" s="119"/>
      <c r="H42" s="119">
        <v>17000.0</v>
      </c>
      <c r="I42" s="36">
        <f t="shared" si="2"/>
        <v>25950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>
      <c r="A43" s="91">
        <v>45912.0</v>
      </c>
      <c r="B43" s="43" t="s">
        <v>53</v>
      </c>
      <c r="C43" s="43" t="s">
        <v>384</v>
      </c>
      <c r="D43" s="52">
        <v>4290000.0</v>
      </c>
      <c r="E43" s="111">
        <v>3300000.0</v>
      </c>
      <c r="F43" s="34">
        <f t="shared" si="1"/>
        <v>2845866</v>
      </c>
      <c r="G43" s="50"/>
      <c r="H43" s="50">
        <v>3000.0</v>
      </c>
      <c r="I43" s="36">
        <f t="shared" si="2"/>
        <v>22950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1">
        <v>45912.0</v>
      </c>
      <c r="B44" s="43" t="s">
        <v>385</v>
      </c>
      <c r="C44" s="121" t="s">
        <v>386</v>
      </c>
      <c r="D44" s="52"/>
      <c r="E44" s="52"/>
      <c r="F44" s="34">
        <f t="shared" si="1"/>
        <v>2845866</v>
      </c>
      <c r="G44" s="50"/>
      <c r="H44" s="50">
        <v>500.0</v>
      </c>
      <c r="I44" s="36">
        <f t="shared" si="2"/>
        <v>22450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1">
        <v>45912.0</v>
      </c>
      <c r="B45" s="43" t="s">
        <v>88</v>
      </c>
      <c r="C45" s="43" t="s">
        <v>387</v>
      </c>
      <c r="D45" s="44"/>
      <c r="E45" s="111"/>
      <c r="F45" s="34">
        <f t="shared" si="1"/>
        <v>2845866</v>
      </c>
      <c r="G45" s="29"/>
      <c r="H45" s="50">
        <v>540.0</v>
      </c>
      <c r="I45" s="36">
        <f t="shared" si="2"/>
        <v>21910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6">
        <v>45917.0</v>
      </c>
      <c r="B46" s="43" t="s">
        <v>83</v>
      </c>
      <c r="C46" s="43" t="s">
        <v>388</v>
      </c>
      <c r="D46" s="52">
        <v>380473.0</v>
      </c>
      <c r="E46" s="111"/>
      <c r="F46" s="34">
        <f t="shared" si="1"/>
        <v>3226339</v>
      </c>
      <c r="G46" s="29"/>
      <c r="H46" s="50"/>
      <c r="I46" s="36">
        <f t="shared" si="2"/>
        <v>21910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6">
        <v>45917.0</v>
      </c>
      <c r="B47" s="43" t="s">
        <v>91</v>
      </c>
      <c r="C47" s="43" t="s">
        <v>389</v>
      </c>
      <c r="D47" s="44"/>
      <c r="E47" s="111"/>
      <c r="F47" s="34">
        <f t="shared" si="1"/>
        <v>3226339</v>
      </c>
      <c r="G47" s="50">
        <v>3000.0</v>
      </c>
      <c r="H47" s="50"/>
      <c r="I47" s="36">
        <f t="shared" si="2"/>
        <v>24910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6">
        <v>45918.0</v>
      </c>
      <c r="B48" s="43" t="s">
        <v>75</v>
      </c>
      <c r="C48" s="48" t="s">
        <v>390</v>
      </c>
      <c r="D48" s="44"/>
      <c r="E48" s="111">
        <v>56800.0</v>
      </c>
      <c r="F48" s="34">
        <f t="shared" si="1"/>
        <v>3169539</v>
      </c>
      <c r="G48" s="29"/>
      <c r="H48" s="50"/>
      <c r="I48" s="36">
        <f t="shared" si="2"/>
        <v>24910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6">
        <v>45917.0</v>
      </c>
      <c r="B49" s="43" t="s">
        <v>75</v>
      </c>
      <c r="C49" s="48" t="s">
        <v>108</v>
      </c>
      <c r="D49" s="52"/>
      <c r="E49" s="111">
        <v>8000.0</v>
      </c>
      <c r="F49" s="34">
        <f t="shared" si="1"/>
        <v>3161539</v>
      </c>
      <c r="G49" s="29"/>
      <c r="H49" s="50"/>
      <c r="I49" s="36">
        <f t="shared" si="2"/>
        <v>24910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6">
        <v>45917.0</v>
      </c>
      <c r="B50" s="43" t="s">
        <v>75</v>
      </c>
      <c r="C50" s="48" t="s">
        <v>391</v>
      </c>
      <c r="D50" s="52"/>
      <c r="E50" s="111">
        <v>6000.0</v>
      </c>
      <c r="F50" s="34">
        <f t="shared" si="1"/>
        <v>3155539</v>
      </c>
      <c r="G50" s="50"/>
      <c r="H50" s="50"/>
      <c r="I50" s="36">
        <f t="shared" si="2"/>
        <v>24910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6">
        <v>45918.0</v>
      </c>
      <c r="B51" s="43" t="s">
        <v>223</v>
      </c>
      <c r="C51" s="43" t="s">
        <v>392</v>
      </c>
      <c r="D51" s="44"/>
      <c r="E51" s="111">
        <v>180000.0</v>
      </c>
      <c r="F51" s="34">
        <f t="shared" si="1"/>
        <v>2975539</v>
      </c>
      <c r="G51" s="50"/>
      <c r="H51" s="50"/>
      <c r="I51" s="36">
        <f t="shared" si="2"/>
        <v>24910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6">
        <v>45918.0</v>
      </c>
      <c r="B52" s="43" t="s">
        <v>83</v>
      </c>
      <c r="C52" s="43" t="s">
        <v>393</v>
      </c>
      <c r="D52" s="52">
        <v>530250.0</v>
      </c>
      <c r="E52" s="111"/>
      <c r="F52" s="34">
        <f t="shared" si="1"/>
        <v>3505789</v>
      </c>
      <c r="G52" s="50"/>
      <c r="H52" s="29"/>
      <c r="I52" s="36">
        <f t="shared" si="2"/>
        <v>24910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6">
        <v>45919.0</v>
      </c>
      <c r="B53" s="43" t="s">
        <v>75</v>
      </c>
      <c r="C53" s="48" t="s">
        <v>394</v>
      </c>
      <c r="D53" s="52"/>
      <c r="E53" s="111">
        <v>20000.0</v>
      </c>
      <c r="F53" s="34">
        <f t="shared" si="1"/>
        <v>3485789</v>
      </c>
      <c r="G53" s="50"/>
      <c r="H53" s="50"/>
      <c r="I53" s="36">
        <f t="shared" si="2"/>
        <v>24910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6">
        <v>45922.0</v>
      </c>
      <c r="B54" s="43" t="s">
        <v>83</v>
      </c>
      <c r="C54" s="43" t="s">
        <v>395</v>
      </c>
      <c r="D54" s="52">
        <v>3048000.0</v>
      </c>
      <c r="E54" s="111"/>
      <c r="F54" s="34">
        <f t="shared" si="1"/>
        <v>6533789</v>
      </c>
      <c r="G54" s="50"/>
      <c r="H54" s="29"/>
      <c r="I54" s="36">
        <f t="shared" si="2"/>
        <v>24910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6">
        <v>45923.0</v>
      </c>
      <c r="B55" s="43" t="s">
        <v>253</v>
      </c>
      <c r="C55" s="43" t="s">
        <v>396</v>
      </c>
      <c r="D55" s="44"/>
      <c r="E55" s="111">
        <v>330000.0</v>
      </c>
      <c r="F55" s="34">
        <f t="shared" si="1"/>
        <v>6203789</v>
      </c>
      <c r="G55" s="29"/>
      <c r="H55" s="50"/>
      <c r="I55" s="36">
        <f t="shared" si="2"/>
        <v>24910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6">
        <v>45923.0</v>
      </c>
      <c r="B56" s="43" t="s">
        <v>55</v>
      </c>
      <c r="C56" s="48" t="s">
        <v>397</v>
      </c>
      <c r="D56" s="44"/>
      <c r="E56" s="111">
        <v>26000.0</v>
      </c>
      <c r="F56" s="34">
        <f t="shared" si="1"/>
        <v>6177789</v>
      </c>
      <c r="G56" s="50"/>
      <c r="H56" s="29"/>
      <c r="I56" s="36">
        <f t="shared" si="2"/>
        <v>24910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6">
        <v>45924.0</v>
      </c>
      <c r="B57" s="43" t="s">
        <v>55</v>
      </c>
      <c r="C57" s="48" t="s">
        <v>108</v>
      </c>
      <c r="D57" s="44"/>
      <c r="E57" s="111">
        <v>10000.0</v>
      </c>
      <c r="F57" s="34">
        <f t="shared" si="1"/>
        <v>6167789</v>
      </c>
      <c r="G57" s="50"/>
      <c r="H57" s="41"/>
      <c r="I57" s="36">
        <f t="shared" si="2"/>
        <v>24910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6">
        <v>45925.0</v>
      </c>
      <c r="B58" s="33" t="s">
        <v>53</v>
      </c>
      <c r="C58" s="43" t="s">
        <v>398</v>
      </c>
      <c r="D58" s="56">
        <v>2640000.0</v>
      </c>
      <c r="E58" s="87"/>
      <c r="F58" s="34">
        <f t="shared" si="1"/>
        <v>8807789</v>
      </c>
      <c r="G58" s="50"/>
      <c r="H58" s="50">
        <v>1900.0</v>
      </c>
      <c r="I58" s="36">
        <f t="shared" si="2"/>
        <v>23010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6">
        <v>45925.0</v>
      </c>
      <c r="B59" s="33" t="s">
        <v>196</v>
      </c>
      <c r="C59" s="43" t="s">
        <v>399</v>
      </c>
      <c r="D59" s="56"/>
      <c r="E59" s="111">
        <v>420000.0</v>
      </c>
      <c r="F59" s="34">
        <f t="shared" si="1"/>
        <v>8387789</v>
      </c>
      <c r="G59" s="50"/>
      <c r="H59" s="50"/>
      <c r="I59" s="36">
        <f t="shared" si="2"/>
        <v>23010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6">
        <v>45925.0</v>
      </c>
      <c r="B60" s="33" t="s">
        <v>63</v>
      </c>
      <c r="C60" s="48" t="s">
        <v>400</v>
      </c>
      <c r="D60" s="26"/>
      <c r="E60" s="111">
        <v>37600.0</v>
      </c>
      <c r="F60" s="34">
        <f t="shared" si="1"/>
        <v>8350189</v>
      </c>
      <c r="G60" s="50"/>
      <c r="H60" s="29"/>
      <c r="I60" s="36">
        <f t="shared" si="2"/>
        <v>23010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5">
        <v>45929.0</v>
      </c>
      <c r="B61" s="33" t="s">
        <v>385</v>
      </c>
      <c r="C61" s="48" t="s">
        <v>386</v>
      </c>
      <c r="D61" s="26"/>
      <c r="E61" s="111"/>
      <c r="F61" s="34">
        <f t="shared" si="1"/>
        <v>8350189</v>
      </c>
      <c r="G61" s="50"/>
      <c r="H61" s="50">
        <v>6000.0</v>
      </c>
      <c r="I61" s="36">
        <f t="shared" si="2"/>
        <v>17010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5">
        <v>45930.0</v>
      </c>
      <c r="B62" s="33" t="s">
        <v>385</v>
      </c>
      <c r="C62" s="48" t="s">
        <v>401</v>
      </c>
      <c r="D62" s="26"/>
      <c r="E62" s="87">
        <v>960000.0</v>
      </c>
      <c r="F62" s="34">
        <f t="shared" si="1"/>
        <v>7390189</v>
      </c>
      <c r="G62" s="29"/>
      <c r="H62" s="50"/>
      <c r="I62" s="36">
        <f t="shared" si="2"/>
        <v>17010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5">
        <v>45930.0</v>
      </c>
      <c r="B63" s="33" t="s">
        <v>385</v>
      </c>
      <c r="C63" s="48" t="s">
        <v>402</v>
      </c>
      <c r="D63" s="26"/>
      <c r="E63" s="84"/>
      <c r="F63" s="34">
        <f t="shared" si="1"/>
        <v>7390189</v>
      </c>
      <c r="G63" s="50"/>
      <c r="H63" s="50">
        <v>5500.0</v>
      </c>
      <c r="I63" s="36">
        <f t="shared" si="2"/>
        <v>11510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5">
        <v>45930.0</v>
      </c>
      <c r="B64" s="33" t="s">
        <v>385</v>
      </c>
      <c r="C64" s="48" t="s">
        <v>403</v>
      </c>
      <c r="D64" s="26"/>
      <c r="E64" s="87">
        <v>380000.0</v>
      </c>
      <c r="F64" s="34">
        <f t="shared" si="1"/>
        <v>7010189</v>
      </c>
      <c r="G64" s="38"/>
      <c r="H64" s="50">
        <v>6000.0</v>
      </c>
      <c r="I64" s="36">
        <f t="shared" si="2"/>
        <v>5510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5">
        <v>45930.0</v>
      </c>
      <c r="B65" s="33" t="s">
        <v>55</v>
      </c>
      <c r="C65" s="48" t="s">
        <v>404</v>
      </c>
      <c r="D65" s="26"/>
      <c r="E65" s="87">
        <v>40000.0</v>
      </c>
      <c r="F65" s="34">
        <f t="shared" si="1"/>
        <v>6970189</v>
      </c>
      <c r="G65" s="28"/>
      <c r="H65" s="50"/>
      <c r="I65" s="36">
        <f t="shared" si="2"/>
        <v>5510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5">
        <v>45930.0</v>
      </c>
      <c r="B66" s="33" t="s">
        <v>223</v>
      </c>
      <c r="C66" s="43" t="s">
        <v>405</v>
      </c>
      <c r="D66" s="26"/>
      <c r="E66" s="84"/>
      <c r="F66" s="34">
        <f t="shared" si="1"/>
        <v>6970189</v>
      </c>
      <c r="G66" s="38"/>
      <c r="H66" s="50">
        <v>350.0</v>
      </c>
      <c r="I66" s="36">
        <f t="shared" si="2"/>
        <v>5160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5">
        <v>45930.0</v>
      </c>
      <c r="B67" s="33" t="s">
        <v>88</v>
      </c>
      <c r="C67" s="43" t="s">
        <v>406</v>
      </c>
      <c r="D67" s="26"/>
      <c r="E67" s="87"/>
      <c r="F67" s="34">
        <f t="shared" si="1"/>
        <v>6970189</v>
      </c>
      <c r="G67" s="38"/>
      <c r="H67" s="50">
        <v>700.0</v>
      </c>
      <c r="I67" s="36">
        <f t="shared" si="2"/>
        <v>4460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5">
        <v>45930.0</v>
      </c>
      <c r="B68" s="33" t="s">
        <v>88</v>
      </c>
      <c r="C68" s="43" t="s">
        <v>407</v>
      </c>
      <c r="D68" s="56"/>
      <c r="E68" s="87">
        <v>9450.0</v>
      </c>
      <c r="F68" s="34">
        <f t="shared" si="1"/>
        <v>6960739</v>
      </c>
      <c r="G68" s="38"/>
      <c r="H68" s="50">
        <v>670.0</v>
      </c>
      <c r="I68" s="36">
        <f t="shared" si="2"/>
        <v>3790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5">
        <v>45930.0</v>
      </c>
      <c r="B69" s="33" t="s">
        <v>223</v>
      </c>
      <c r="C69" s="43" t="s">
        <v>239</v>
      </c>
      <c r="D69" s="26"/>
      <c r="E69" s="87"/>
      <c r="F69" s="34">
        <f t="shared" si="1"/>
        <v>6960739</v>
      </c>
      <c r="G69" s="29"/>
      <c r="H69" s="50">
        <v>100.0</v>
      </c>
      <c r="I69" s="36">
        <f t="shared" si="2"/>
        <v>3690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5"/>
      <c r="B70" s="33"/>
      <c r="C70" s="43"/>
      <c r="D70" s="26"/>
      <c r="E70" s="87"/>
      <c r="F70" s="34">
        <f t="shared" si="1"/>
        <v>6960739</v>
      </c>
      <c r="G70" s="29"/>
      <c r="H70" s="29"/>
      <c r="I70" s="36">
        <f t="shared" si="2"/>
        <v>3690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5"/>
      <c r="B71" s="33"/>
      <c r="C71" s="43"/>
      <c r="D71" s="26"/>
      <c r="E71" s="84"/>
      <c r="F71" s="34">
        <f t="shared" si="1"/>
        <v>6960739</v>
      </c>
      <c r="G71" s="29"/>
      <c r="H71" s="50"/>
      <c r="I71" s="36">
        <f t="shared" si="2"/>
        <v>3690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5"/>
      <c r="B72" s="33"/>
      <c r="C72" s="43"/>
      <c r="D72" s="26"/>
      <c r="E72" s="87"/>
      <c r="F72" s="34">
        <f t="shared" si="1"/>
        <v>6960739</v>
      </c>
      <c r="G72" s="29"/>
      <c r="H72" s="50"/>
      <c r="I72" s="36">
        <f t="shared" si="2"/>
        <v>3690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5"/>
      <c r="B73" s="33"/>
      <c r="C73" s="43"/>
      <c r="D73" s="26"/>
      <c r="E73" s="87"/>
      <c r="F73" s="34">
        <f t="shared" si="1"/>
        <v>6960739</v>
      </c>
      <c r="G73" s="29"/>
      <c r="H73" s="50"/>
      <c r="I73" s="36">
        <f t="shared" si="2"/>
        <v>3690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5"/>
      <c r="B74" s="33"/>
      <c r="C74" s="43"/>
      <c r="D74" s="26"/>
      <c r="E74" s="84"/>
      <c r="F74" s="34">
        <f t="shared" si="1"/>
        <v>6960739</v>
      </c>
      <c r="G74" s="29"/>
      <c r="H74" s="50"/>
      <c r="I74" s="36">
        <f t="shared" si="2"/>
        <v>3690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/>
      <c r="B75" s="33"/>
      <c r="C75" s="43"/>
      <c r="D75" s="26"/>
      <c r="E75" s="87"/>
      <c r="F75" s="34">
        <f t="shared" si="1"/>
        <v>6960739</v>
      </c>
      <c r="G75" s="29"/>
      <c r="H75" s="50"/>
      <c r="I75" s="36">
        <f t="shared" si="2"/>
        <v>3690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/>
      <c r="B76" s="33"/>
      <c r="C76" s="43"/>
      <c r="D76" s="26"/>
      <c r="E76" s="84"/>
      <c r="F76" s="34">
        <f t="shared" si="1"/>
        <v>6960739</v>
      </c>
      <c r="G76" s="29"/>
      <c r="H76" s="50"/>
      <c r="I76" s="36">
        <f t="shared" si="2"/>
        <v>3690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/>
      <c r="B77" s="33"/>
      <c r="C77" s="43"/>
      <c r="D77" s="26"/>
      <c r="E77" s="84"/>
      <c r="F77" s="34">
        <f t="shared" si="1"/>
        <v>6960739</v>
      </c>
      <c r="G77" s="50"/>
      <c r="H77" s="50"/>
      <c r="I77" s="36">
        <f t="shared" si="2"/>
        <v>3690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5"/>
      <c r="B78" s="33"/>
      <c r="C78" s="43"/>
      <c r="D78" s="26"/>
      <c r="E78" s="84"/>
      <c r="F78" s="34">
        <f t="shared" si="1"/>
        <v>6960739</v>
      </c>
      <c r="G78" s="50"/>
      <c r="H78" s="50"/>
      <c r="I78" s="36">
        <f t="shared" si="2"/>
        <v>3690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5"/>
      <c r="B79" s="33"/>
      <c r="C79" s="43"/>
      <c r="D79" s="26"/>
      <c r="E79" s="84"/>
      <c r="F79" s="34">
        <f t="shared" si="1"/>
        <v>6960739</v>
      </c>
      <c r="G79" s="29"/>
      <c r="H79" s="50"/>
      <c r="I79" s="36">
        <f t="shared" si="2"/>
        <v>3690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/>
      <c r="B80" s="33"/>
      <c r="C80" s="43"/>
      <c r="D80" s="26"/>
      <c r="E80" s="84"/>
      <c r="F80" s="34">
        <f t="shared" si="1"/>
        <v>6960739</v>
      </c>
      <c r="G80" s="50"/>
      <c r="H80" s="50"/>
      <c r="I80" s="36">
        <f t="shared" si="2"/>
        <v>3690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/>
      <c r="B81" s="33"/>
      <c r="C81" s="43"/>
      <c r="D81" s="26"/>
      <c r="E81" s="84"/>
      <c r="F81" s="34">
        <f t="shared" si="1"/>
        <v>6960739</v>
      </c>
      <c r="G81" s="29"/>
      <c r="H81" s="50"/>
      <c r="I81" s="36">
        <f t="shared" si="2"/>
        <v>3690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43"/>
      <c r="D82" s="26"/>
      <c r="E82" s="84"/>
      <c r="F82" s="34">
        <f t="shared" si="1"/>
        <v>6960739</v>
      </c>
      <c r="G82" s="29"/>
      <c r="H82" s="50"/>
      <c r="I82" s="36">
        <f t="shared" si="2"/>
        <v>3690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6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6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6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6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6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3"/>
      <c r="E88" s="6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3"/>
      <c r="E89" s="6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3"/>
      <c r="E90" s="6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3"/>
      <c r="E91" s="6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3"/>
      <c r="E92" s="6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3"/>
      <c r="E93" s="6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3"/>
      <c r="E94" s="6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3"/>
      <c r="E95" s="6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3"/>
      <c r="E96" s="6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3"/>
      <c r="E97" s="6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3"/>
      <c r="E98" s="6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6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6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6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6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6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6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6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6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6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6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6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6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6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6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6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6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6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6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6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6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6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6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6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6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6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6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6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6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6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6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6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6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6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6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6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6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6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6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6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6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6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6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6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6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6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6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6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6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6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6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6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6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6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6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6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6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6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6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6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6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6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6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6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6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6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6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6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6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6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6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6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6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6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6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6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6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6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6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6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6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6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6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6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6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6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6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6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6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6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6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6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6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6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6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6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6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6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6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6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6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6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6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6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6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6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6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6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6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6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6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6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6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6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6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6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6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6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6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6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6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6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6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6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6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6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6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6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6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6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6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6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6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6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6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6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6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6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6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6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6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6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6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6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6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6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6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6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6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6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6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6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6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6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6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6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6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6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6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6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6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6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6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6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6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6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6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6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6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6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6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6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6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6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6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6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6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6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6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6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6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6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6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6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6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6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6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6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6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6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6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6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6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6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6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6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6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6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6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6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6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6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6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6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6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6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6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6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6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6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6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6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6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6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6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6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6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6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6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6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6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6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6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6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6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6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6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6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6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6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6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6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6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6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6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6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6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6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6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6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6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6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6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6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6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6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6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6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6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6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6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6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6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6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6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6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6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6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6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6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6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6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6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6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6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6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6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6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6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6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6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6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6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6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6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6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6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6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6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6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6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6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6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6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6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6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6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6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6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6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6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6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6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6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6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6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6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6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6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6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6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6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6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6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6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6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6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6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6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6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6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6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6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6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6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6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6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6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6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6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6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6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6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6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6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6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6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6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6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6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6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6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6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6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6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6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6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6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6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6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6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6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6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6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6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6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6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6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6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6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6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6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6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6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6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6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6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6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6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6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6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6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6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6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6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6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6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6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6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6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6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6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6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6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6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6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6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6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6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6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6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6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6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6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6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6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6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6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6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6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6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6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6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6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6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6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6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6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6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6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6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6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6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6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6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6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6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6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6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6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6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6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6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6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6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6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6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6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6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6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6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6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6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6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6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6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6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6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6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6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6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6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6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6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6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6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6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6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6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6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6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6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6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6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6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6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6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6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6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6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6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6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6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6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6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6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6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6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6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6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6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6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6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6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6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6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6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6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6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6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6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6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6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6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6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6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6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6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6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6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6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6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6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6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6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6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6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6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6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6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6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6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6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6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6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6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6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6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6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6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6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6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6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6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6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6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6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6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6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6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6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6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6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6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6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6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6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6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6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6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6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6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6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6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6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6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6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6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6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6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6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6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6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6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6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6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6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6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6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6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6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6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6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6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6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6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6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6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6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6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6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6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6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6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6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6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6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6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6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6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6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6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6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6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6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6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6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6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6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6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6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6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6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6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6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6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6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6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6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6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6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6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6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6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6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6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6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6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6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6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6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6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6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6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6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6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6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6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6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6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6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6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6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6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6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6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6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6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6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6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6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6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6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6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6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6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6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6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6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6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6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6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6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6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6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6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6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6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6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6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6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6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6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6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6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6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6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6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6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6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6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6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6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6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6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6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6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6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6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6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6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6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6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6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6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6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6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6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6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6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6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6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6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6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6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6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6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6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6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6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6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6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6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6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6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6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6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6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6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6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6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6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6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6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6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6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6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6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6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6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6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6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6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6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6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6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6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6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6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6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6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6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6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6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6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6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6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6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6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6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6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6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6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6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6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6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6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6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6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6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6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6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6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6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6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6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6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6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6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6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6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6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6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6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6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6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6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6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6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6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6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6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6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6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6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6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6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6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6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6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6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6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6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6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6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6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6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6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6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6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6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6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6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6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6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6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6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6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6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6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6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6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6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6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6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6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6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6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6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6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6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6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6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6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6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6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6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6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6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6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6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6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6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6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6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6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6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6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6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6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6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6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6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6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6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6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6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6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6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6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6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6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6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6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6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6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6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6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6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6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6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6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6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6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6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6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6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6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6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6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6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6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6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6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6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6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6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6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6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6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6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6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6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6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6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6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6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6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6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6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6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6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6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6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6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6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6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6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6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6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6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6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6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6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6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6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6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6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6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6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6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6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6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6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6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6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6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6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6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6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6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6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6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6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6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6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6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6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6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6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6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6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6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6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6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6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6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6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6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6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6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6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6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6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6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6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6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69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69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69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69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69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69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69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69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69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69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69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69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69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69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6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5.38"/>
  </cols>
  <sheetData>
    <row r="1">
      <c r="A1" s="1" t="s">
        <v>408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15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/>
      <c r="B5" s="33"/>
      <c r="C5" s="43" t="s">
        <v>9</v>
      </c>
      <c r="D5" s="56">
        <v>6960739.0</v>
      </c>
      <c r="E5" s="84"/>
      <c r="F5" s="34">
        <f t="shared" ref="F5:F82" si="1">F4+D5-E5</f>
        <v>6960739</v>
      </c>
      <c r="G5" s="28"/>
      <c r="H5" s="29"/>
      <c r="I5" s="78">
        <v>3690.0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22">
        <v>45932.0</v>
      </c>
      <c r="B6" s="101" t="s">
        <v>112</v>
      </c>
      <c r="C6" s="121" t="s">
        <v>409</v>
      </c>
      <c r="D6" s="117"/>
      <c r="E6" s="118">
        <v>2502500.0</v>
      </c>
      <c r="F6" s="34">
        <f t="shared" si="1"/>
        <v>4458239</v>
      </c>
      <c r="G6" s="123"/>
      <c r="H6" s="119"/>
      <c r="I6" s="36">
        <f t="shared" ref="I6:I82" si="2">I5+G6-H6</f>
        <v>3690</v>
      </c>
      <c r="J6" s="124"/>
      <c r="K6" s="125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</row>
    <row r="7">
      <c r="A7" s="122">
        <v>45932.0</v>
      </c>
      <c r="B7" s="101" t="s">
        <v>112</v>
      </c>
      <c r="C7" s="121" t="s">
        <v>410</v>
      </c>
      <c r="D7" s="117"/>
      <c r="E7" s="118">
        <v>2073500.0</v>
      </c>
      <c r="F7" s="34">
        <f t="shared" si="1"/>
        <v>2384739</v>
      </c>
      <c r="G7" s="119"/>
      <c r="H7" s="119"/>
      <c r="I7" s="36">
        <f t="shared" si="2"/>
        <v>3690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</row>
    <row r="8">
      <c r="A8" s="110">
        <v>45932.0</v>
      </c>
      <c r="B8" s="43" t="s">
        <v>112</v>
      </c>
      <c r="C8" s="48" t="s">
        <v>411</v>
      </c>
      <c r="D8" s="89"/>
      <c r="E8" s="111"/>
      <c r="F8" s="34">
        <f t="shared" si="1"/>
        <v>2384739</v>
      </c>
      <c r="G8" s="50"/>
      <c r="H8" s="28">
        <v>1500.0</v>
      </c>
      <c r="I8" s="36">
        <f t="shared" si="2"/>
        <v>2190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0">
        <v>45932.0</v>
      </c>
      <c r="B9" s="43" t="s">
        <v>112</v>
      </c>
      <c r="C9" s="48" t="s">
        <v>302</v>
      </c>
      <c r="D9" s="111"/>
      <c r="E9" s="111">
        <v>831706.0</v>
      </c>
      <c r="F9" s="34">
        <f t="shared" si="1"/>
        <v>1553033</v>
      </c>
      <c r="G9" s="29"/>
      <c r="H9" s="50"/>
      <c r="I9" s="36">
        <f t="shared" si="2"/>
        <v>2190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0">
        <v>45932.0</v>
      </c>
      <c r="B10" s="43" t="s">
        <v>112</v>
      </c>
      <c r="C10" s="48" t="s">
        <v>303</v>
      </c>
      <c r="D10" s="44"/>
      <c r="E10" s="111">
        <v>1128848.0</v>
      </c>
      <c r="F10" s="34">
        <f t="shared" si="1"/>
        <v>424185</v>
      </c>
      <c r="G10" s="50"/>
      <c r="H10" s="50"/>
      <c r="I10" s="36">
        <f t="shared" si="2"/>
        <v>2190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0">
        <v>45932.0</v>
      </c>
      <c r="B11" s="43" t="s">
        <v>58</v>
      </c>
      <c r="C11" s="43" t="s">
        <v>412</v>
      </c>
      <c r="D11" s="52"/>
      <c r="E11" s="111"/>
      <c r="F11" s="34">
        <f t="shared" si="1"/>
        <v>424185</v>
      </c>
      <c r="G11" s="50"/>
      <c r="H11" s="50">
        <v>500.0</v>
      </c>
      <c r="I11" s="36">
        <f t="shared" si="2"/>
        <v>1690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10">
        <v>45932.0</v>
      </c>
      <c r="B12" s="43" t="s">
        <v>63</v>
      </c>
      <c r="C12" s="48" t="s">
        <v>361</v>
      </c>
      <c r="D12" s="52"/>
      <c r="E12" s="107">
        <v>16700.0</v>
      </c>
      <c r="F12" s="34">
        <f t="shared" si="1"/>
        <v>407485</v>
      </c>
      <c r="G12" s="50"/>
      <c r="H12" s="50"/>
      <c r="I12" s="36">
        <f t="shared" si="2"/>
        <v>1690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10">
        <v>45932.0</v>
      </c>
      <c r="B13" s="43" t="s">
        <v>223</v>
      </c>
      <c r="C13" s="43" t="s">
        <v>413</v>
      </c>
      <c r="D13" s="52"/>
      <c r="E13" s="111">
        <v>85000.0</v>
      </c>
      <c r="F13" s="34">
        <f t="shared" si="1"/>
        <v>322485</v>
      </c>
      <c r="G13" s="50"/>
      <c r="H13" s="28"/>
      <c r="I13" s="36">
        <f t="shared" si="2"/>
        <v>1690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10">
        <v>45936.0</v>
      </c>
      <c r="B14" s="43" t="s">
        <v>83</v>
      </c>
      <c r="C14" s="43" t="s">
        <v>414</v>
      </c>
      <c r="D14" s="52">
        <v>410000.0</v>
      </c>
      <c r="E14" s="111"/>
      <c r="F14" s="34">
        <f t="shared" si="1"/>
        <v>732485</v>
      </c>
      <c r="G14" s="38"/>
      <c r="H14" s="50"/>
      <c r="I14" s="36">
        <f t="shared" si="2"/>
        <v>1690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10">
        <v>45936.0</v>
      </c>
      <c r="B15" s="43" t="s">
        <v>196</v>
      </c>
      <c r="C15" s="43" t="s">
        <v>415</v>
      </c>
      <c r="D15" s="52"/>
      <c r="E15" s="111">
        <v>120000.0</v>
      </c>
      <c r="F15" s="34">
        <f t="shared" si="1"/>
        <v>612485</v>
      </c>
      <c r="G15" s="50"/>
      <c r="H15" s="38"/>
      <c r="I15" s="36">
        <f t="shared" si="2"/>
        <v>1690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10">
        <v>45936.0</v>
      </c>
      <c r="B16" s="43" t="s">
        <v>63</v>
      </c>
      <c r="C16" s="48" t="s">
        <v>416</v>
      </c>
      <c r="D16" s="52"/>
      <c r="E16" s="111">
        <v>30000.0</v>
      </c>
      <c r="F16" s="34">
        <f t="shared" si="1"/>
        <v>582485</v>
      </c>
      <c r="G16" s="50"/>
      <c r="H16" s="50"/>
      <c r="I16" s="36">
        <f t="shared" si="2"/>
        <v>1690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10">
        <v>45936.0</v>
      </c>
      <c r="B17" s="43" t="s">
        <v>63</v>
      </c>
      <c r="C17" s="48" t="s">
        <v>417</v>
      </c>
      <c r="D17" s="52"/>
      <c r="E17" s="111">
        <v>14000.0</v>
      </c>
      <c r="F17" s="34">
        <f t="shared" si="1"/>
        <v>568485</v>
      </c>
      <c r="G17" s="50"/>
      <c r="H17" s="50"/>
      <c r="I17" s="36">
        <f t="shared" si="2"/>
        <v>1690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10">
        <v>45937.0</v>
      </c>
      <c r="B18" s="43" t="s">
        <v>83</v>
      </c>
      <c r="C18" s="43" t="s">
        <v>418</v>
      </c>
      <c r="D18" s="52"/>
      <c r="E18" s="111"/>
      <c r="F18" s="34">
        <f t="shared" si="1"/>
        <v>568485</v>
      </c>
      <c r="G18" s="54">
        <v>200.0</v>
      </c>
      <c r="H18" s="50"/>
      <c r="I18" s="36">
        <f t="shared" si="2"/>
        <v>1890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10">
        <v>45938.0</v>
      </c>
      <c r="B19" s="43" t="s">
        <v>83</v>
      </c>
      <c r="C19" s="43" t="s">
        <v>419</v>
      </c>
      <c r="D19" s="111"/>
      <c r="E19" s="111"/>
      <c r="F19" s="34">
        <f t="shared" si="1"/>
        <v>568485</v>
      </c>
      <c r="G19" s="50">
        <v>260.0</v>
      </c>
      <c r="H19" s="50"/>
      <c r="I19" s="36">
        <f t="shared" si="2"/>
        <v>2150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91">
        <v>45939.0</v>
      </c>
      <c r="B20" s="43" t="s">
        <v>53</v>
      </c>
      <c r="C20" s="43" t="s">
        <v>420</v>
      </c>
      <c r="D20" s="52">
        <v>2910000.0</v>
      </c>
      <c r="E20" s="111"/>
      <c r="F20" s="34">
        <f t="shared" si="1"/>
        <v>3478485</v>
      </c>
      <c r="G20" s="50"/>
      <c r="H20" s="50">
        <v>2000.0</v>
      </c>
      <c r="I20" s="36">
        <f t="shared" si="2"/>
        <v>150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91">
        <v>45939.0</v>
      </c>
      <c r="B21" s="43" t="s">
        <v>63</v>
      </c>
      <c r="C21" s="48" t="s">
        <v>421</v>
      </c>
      <c r="D21" s="44"/>
      <c r="E21" s="111">
        <v>350000.0</v>
      </c>
      <c r="F21" s="34">
        <f t="shared" si="1"/>
        <v>3128485</v>
      </c>
      <c r="G21" s="54"/>
      <c r="H21" s="54"/>
      <c r="I21" s="36">
        <f t="shared" si="2"/>
        <v>150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91">
        <v>45939.0</v>
      </c>
      <c r="B22" s="43" t="s">
        <v>63</v>
      </c>
      <c r="C22" s="48" t="s">
        <v>229</v>
      </c>
      <c r="D22" s="44"/>
      <c r="E22" s="111">
        <v>55000.0</v>
      </c>
      <c r="F22" s="34">
        <f t="shared" si="1"/>
        <v>3073485</v>
      </c>
      <c r="G22" s="29"/>
      <c r="H22" s="50"/>
      <c r="I22" s="36">
        <f t="shared" si="2"/>
        <v>150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91">
        <v>45939.0</v>
      </c>
      <c r="B23" s="43" t="s">
        <v>63</v>
      </c>
      <c r="C23" s="48" t="s">
        <v>422</v>
      </c>
      <c r="D23" s="52"/>
      <c r="E23" s="111">
        <v>30000.0</v>
      </c>
      <c r="F23" s="34">
        <f t="shared" si="1"/>
        <v>3043485</v>
      </c>
      <c r="G23" s="29"/>
      <c r="H23" s="28"/>
      <c r="I23" s="36">
        <f t="shared" si="2"/>
        <v>150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91">
        <v>45939.0</v>
      </c>
      <c r="B24" s="43" t="s">
        <v>63</v>
      </c>
      <c r="C24" s="48" t="s">
        <v>377</v>
      </c>
      <c r="D24" s="52"/>
      <c r="E24" s="52">
        <v>220000.0</v>
      </c>
      <c r="F24" s="34">
        <f t="shared" si="1"/>
        <v>2823485</v>
      </c>
      <c r="G24" s="29"/>
      <c r="H24" s="50"/>
      <c r="I24" s="36">
        <f t="shared" si="2"/>
        <v>150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91">
        <v>45939.0</v>
      </c>
      <c r="B25" s="43" t="s">
        <v>223</v>
      </c>
      <c r="C25" s="43" t="s">
        <v>423</v>
      </c>
      <c r="D25" s="52"/>
      <c r="E25" s="111">
        <v>1061320.0</v>
      </c>
      <c r="F25" s="34">
        <f t="shared" si="1"/>
        <v>1762165</v>
      </c>
      <c r="G25" s="50"/>
      <c r="H25" s="50"/>
      <c r="I25" s="36">
        <f t="shared" si="2"/>
        <v>150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1">
        <v>45939.0</v>
      </c>
      <c r="B26" s="43" t="s">
        <v>223</v>
      </c>
      <c r="C26" s="43" t="s">
        <v>424</v>
      </c>
      <c r="D26" s="52"/>
      <c r="E26" s="111"/>
      <c r="F26" s="34">
        <f t="shared" si="1"/>
        <v>1762165</v>
      </c>
      <c r="G26" s="50"/>
      <c r="H26" s="28">
        <v>1120.0</v>
      </c>
      <c r="I26" s="36">
        <f t="shared" si="2"/>
        <v>-970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1">
        <v>45939.0</v>
      </c>
      <c r="B27" s="43" t="s">
        <v>223</v>
      </c>
      <c r="C27" s="43" t="s">
        <v>425</v>
      </c>
      <c r="D27" s="111"/>
      <c r="E27" s="111">
        <v>50000.0</v>
      </c>
      <c r="F27" s="34">
        <f t="shared" si="1"/>
        <v>1712165</v>
      </c>
      <c r="G27" s="50"/>
      <c r="H27" s="50"/>
      <c r="I27" s="36">
        <f t="shared" si="2"/>
        <v>-970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1">
        <v>45939.0</v>
      </c>
      <c r="B28" s="43" t="s">
        <v>63</v>
      </c>
      <c r="C28" s="48" t="s">
        <v>255</v>
      </c>
      <c r="D28" s="44"/>
      <c r="E28" s="111">
        <v>447000.0</v>
      </c>
      <c r="F28" s="34">
        <f t="shared" si="1"/>
        <v>1265165</v>
      </c>
      <c r="G28" s="50"/>
      <c r="H28" s="50"/>
      <c r="I28" s="36">
        <f t="shared" si="2"/>
        <v>-970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1">
        <v>45939.0</v>
      </c>
      <c r="B29" s="43" t="s">
        <v>83</v>
      </c>
      <c r="C29" s="43" t="s">
        <v>426</v>
      </c>
      <c r="D29" s="52"/>
      <c r="E29" s="111"/>
      <c r="F29" s="34">
        <f t="shared" si="1"/>
        <v>1265165</v>
      </c>
      <c r="G29" s="50">
        <v>750.0</v>
      </c>
      <c r="H29" s="50"/>
      <c r="I29" s="36">
        <f t="shared" si="2"/>
        <v>-220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1">
        <v>45939.0</v>
      </c>
      <c r="B30" s="43" t="s">
        <v>83</v>
      </c>
      <c r="C30" s="43" t="s">
        <v>427</v>
      </c>
      <c r="D30" s="111">
        <v>388700.0</v>
      </c>
      <c r="E30" s="111"/>
      <c r="F30" s="34">
        <f t="shared" si="1"/>
        <v>1653865</v>
      </c>
      <c r="G30" s="50"/>
      <c r="H30" s="50"/>
      <c r="I30" s="36">
        <f t="shared" si="2"/>
        <v>-220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1">
        <v>45939.0</v>
      </c>
      <c r="B31" s="43" t="s">
        <v>83</v>
      </c>
      <c r="C31" s="43" t="s">
        <v>428</v>
      </c>
      <c r="D31" s="111">
        <v>538200.0</v>
      </c>
      <c r="E31" s="111"/>
      <c r="F31" s="34">
        <f t="shared" si="1"/>
        <v>2192065</v>
      </c>
      <c r="G31" s="50"/>
      <c r="H31" s="28"/>
      <c r="I31" s="36">
        <f t="shared" si="2"/>
        <v>-220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1">
        <v>45939.0</v>
      </c>
      <c r="B32" s="43" t="s">
        <v>83</v>
      </c>
      <c r="C32" s="43" t="s">
        <v>429</v>
      </c>
      <c r="D32" s="44"/>
      <c r="E32" s="111"/>
      <c r="F32" s="34">
        <f t="shared" si="1"/>
        <v>2192065</v>
      </c>
      <c r="G32" s="50">
        <v>250.0</v>
      </c>
      <c r="H32" s="50"/>
      <c r="I32" s="36">
        <f t="shared" si="2"/>
        <v>30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1">
        <v>45939.0</v>
      </c>
      <c r="B33" s="43" t="s">
        <v>63</v>
      </c>
      <c r="C33" s="48" t="s">
        <v>227</v>
      </c>
      <c r="D33" s="89"/>
      <c r="E33" s="111">
        <v>10000.0</v>
      </c>
      <c r="F33" s="34">
        <f t="shared" si="1"/>
        <v>2182065</v>
      </c>
      <c r="G33" s="50"/>
      <c r="H33" s="28"/>
      <c r="I33" s="36">
        <f t="shared" si="2"/>
        <v>30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1">
        <v>45943.0</v>
      </c>
      <c r="B34" s="43" t="s">
        <v>83</v>
      </c>
      <c r="C34" s="43" t="s">
        <v>430</v>
      </c>
      <c r="D34" s="111">
        <v>8700.0</v>
      </c>
      <c r="E34" s="111"/>
      <c r="F34" s="34">
        <f t="shared" si="1"/>
        <v>2190765</v>
      </c>
      <c r="G34" s="50">
        <v>160.0</v>
      </c>
      <c r="H34" s="50"/>
      <c r="I34" s="36">
        <f t="shared" si="2"/>
        <v>190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45943.0</v>
      </c>
      <c r="B35" s="43" t="s">
        <v>83</v>
      </c>
      <c r="C35" s="43" t="s">
        <v>431</v>
      </c>
      <c r="D35" s="44"/>
      <c r="E35" s="111"/>
      <c r="F35" s="92">
        <f t="shared" si="1"/>
        <v>2190765</v>
      </c>
      <c r="G35" s="54">
        <v>400.0</v>
      </c>
      <c r="H35" s="54"/>
      <c r="I35" s="93">
        <f t="shared" si="2"/>
        <v>590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45943.0</v>
      </c>
      <c r="B36" s="43" t="s">
        <v>223</v>
      </c>
      <c r="C36" s="43" t="s">
        <v>432</v>
      </c>
      <c r="D36" s="52"/>
      <c r="E36" s="111">
        <v>1137150.0</v>
      </c>
      <c r="F36" s="34">
        <f t="shared" si="1"/>
        <v>1053615</v>
      </c>
      <c r="G36" s="50"/>
      <c r="H36" s="50"/>
      <c r="I36" s="36">
        <f t="shared" si="2"/>
        <v>590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45944.0</v>
      </c>
      <c r="B37" s="43" t="s">
        <v>83</v>
      </c>
      <c r="C37" s="43" t="s">
        <v>433</v>
      </c>
      <c r="D37" s="52">
        <v>403203.0</v>
      </c>
      <c r="E37" s="111"/>
      <c r="F37" s="34">
        <f t="shared" si="1"/>
        <v>1456818</v>
      </c>
      <c r="G37" s="28"/>
      <c r="H37" s="50"/>
      <c r="I37" s="36">
        <f t="shared" si="2"/>
        <v>590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1">
        <v>45944.0</v>
      </c>
      <c r="B38" s="43" t="s">
        <v>88</v>
      </c>
      <c r="C38" s="43" t="s">
        <v>434</v>
      </c>
      <c r="D38" s="52"/>
      <c r="E38" s="111">
        <v>479400.0</v>
      </c>
      <c r="F38" s="34">
        <f t="shared" si="1"/>
        <v>977418</v>
      </c>
      <c r="G38" s="50"/>
      <c r="H38" s="28"/>
      <c r="I38" s="36">
        <f t="shared" si="2"/>
        <v>590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1">
        <v>45944.0</v>
      </c>
      <c r="B39" s="43" t="s">
        <v>63</v>
      </c>
      <c r="C39" s="48" t="s">
        <v>435</v>
      </c>
      <c r="D39" s="52"/>
      <c r="E39" s="111">
        <v>35000.0</v>
      </c>
      <c r="F39" s="34">
        <f t="shared" si="1"/>
        <v>942418</v>
      </c>
      <c r="G39" s="50"/>
      <c r="H39" s="29"/>
      <c r="I39" s="36">
        <f t="shared" si="2"/>
        <v>590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1">
        <v>45944.0</v>
      </c>
      <c r="B40" s="126" t="s">
        <v>63</v>
      </c>
      <c r="C40" s="48" t="s">
        <v>436</v>
      </c>
      <c r="D40" s="89"/>
      <c r="E40" s="111">
        <v>10000.0</v>
      </c>
      <c r="F40" s="92">
        <f t="shared" si="1"/>
        <v>932418</v>
      </c>
      <c r="G40" s="54"/>
      <c r="H40" s="97"/>
      <c r="I40" s="98">
        <f t="shared" si="2"/>
        <v>590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91">
        <v>45945.0</v>
      </c>
      <c r="B41" s="43" t="s">
        <v>88</v>
      </c>
      <c r="C41" s="103" t="s">
        <v>437</v>
      </c>
      <c r="D41" s="102"/>
      <c r="E41" s="111"/>
      <c r="F41" s="34">
        <f t="shared" si="1"/>
        <v>932418</v>
      </c>
      <c r="G41" s="28"/>
      <c r="H41" s="28">
        <v>600.0</v>
      </c>
      <c r="I41" s="36">
        <f t="shared" si="2"/>
        <v>-10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1">
        <v>45945.0</v>
      </c>
      <c r="B42" s="43" t="s">
        <v>223</v>
      </c>
      <c r="C42" s="43" t="s">
        <v>438</v>
      </c>
      <c r="D42" s="52"/>
      <c r="E42" s="111"/>
      <c r="F42" s="34">
        <f t="shared" si="1"/>
        <v>932418</v>
      </c>
      <c r="G42" s="50">
        <v>10800.0</v>
      </c>
      <c r="H42" s="50"/>
      <c r="I42" s="36">
        <f t="shared" si="2"/>
        <v>10790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1">
        <v>45945.0</v>
      </c>
      <c r="B43" s="43" t="s">
        <v>223</v>
      </c>
      <c r="C43" s="114" t="s">
        <v>439</v>
      </c>
      <c r="D43" s="52"/>
      <c r="E43" s="111"/>
      <c r="F43" s="34">
        <f t="shared" si="1"/>
        <v>932418</v>
      </c>
      <c r="G43" s="50"/>
      <c r="H43" s="50"/>
      <c r="I43" s="36">
        <f t="shared" si="2"/>
        <v>10790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1">
        <v>45946.0</v>
      </c>
      <c r="B44" s="43" t="s">
        <v>223</v>
      </c>
      <c r="C44" s="114" t="s">
        <v>440</v>
      </c>
      <c r="D44" s="52"/>
      <c r="E44" s="52"/>
      <c r="F44" s="34">
        <f t="shared" si="1"/>
        <v>932418</v>
      </c>
      <c r="G44" s="50"/>
      <c r="H44" s="50"/>
      <c r="I44" s="36">
        <f t="shared" si="2"/>
        <v>10790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1">
        <v>45946.0</v>
      </c>
      <c r="B45" s="43" t="s">
        <v>83</v>
      </c>
      <c r="C45" s="43" t="s">
        <v>441</v>
      </c>
      <c r="D45" s="111">
        <v>514500.0</v>
      </c>
      <c r="E45" s="111"/>
      <c r="F45" s="34">
        <f t="shared" si="1"/>
        <v>1446918</v>
      </c>
      <c r="G45" s="29"/>
      <c r="H45" s="50"/>
      <c r="I45" s="36">
        <f t="shared" si="2"/>
        <v>10790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6">
        <v>45947.0</v>
      </c>
      <c r="B46" s="43" t="s">
        <v>63</v>
      </c>
      <c r="C46" s="48" t="s">
        <v>404</v>
      </c>
      <c r="D46" s="52"/>
      <c r="E46" s="111">
        <v>40000.0</v>
      </c>
      <c r="F46" s="34">
        <f t="shared" si="1"/>
        <v>1406918</v>
      </c>
      <c r="G46" s="29"/>
      <c r="H46" s="50"/>
      <c r="I46" s="36">
        <f t="shared" si="2"/>
        <v>10790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6">
        <v>45950.0</v>
      </c>
      <c r="B47" s="43" t="s">
        <v>63</v>
      </c>
      <c r="C47" s="48" t="s">
        <v>442</v>
      </c>
      <c r="D47" s="44"/>
      <c r="E47" s="111">
        <v>27000.0</v>
      </c>
      <c r="F47" s="34">
        <f t="shared" si="1"/>
        <v>1379918</v>
      </c>
      <c r="G47" s="50"/>
      <c r="H47" s="50"/>
      <c r="I47" s="36">
        <f t="shared" si="2"/>
        <v>10790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6">
        <v>45953.0</v>
      </c>
      <c r="B48" s="43" t="s">
        <v>63</v>
      </c>
      <c r="C48" s="48" t="s">
        <v>443</v>
      </c>
      <c r="D48" s="44"/>
      <c r="E48" s="111">
        <v>330000.0</v>
      </c>
      <c r="F48" s="34">
        <f t="shared" si="1"/>
        <v>1049918</v>
      </c>
      <c r="G48" s="29"/>
      <c r="H48" s="50"/>
      <c r="I48" s="36">
        <f t="shared" si="2"/>
        <v>10790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6">
        <v>45953.0</v>
      </c>
      <c r="B49" s="43" t="s">
        <v>63</v>
      </c>
      <c r="C49" s="48" t="s">
        <v>227</v>
      </c>
      <c r="D49" s="52"/>
      <c r="E49" s="111">
        <v>10000.0</v>
      </c>
      <c r="F49" s="34">
        <f t="shared" si="1"/>
        <v>1039918</v>
      </c>
      <c r="G49" s="29"/>
      <c r="H49" s="50"/>
      <c r="I49" s="36">
        <f t="shared" si="2"/>
        <v>10790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6">
        <v>45953.0</v>
      </c>
      <c r="B50" s="43" t="s">
        <v>63</v>
      </c>
      <c r="C50" s="48" t="s">
        <v>444</v>
      </c>
      <c r="D50" s="52"/>
      <c r="E50" s="111">
        <v>9000.0</v>
      </c>
      <c r="F50" s="34">
        <f t="shared" si="1"/>
        <v>1030918</v>
      </c>
      <c r="G50" s="50"/>
      <c r="H50" s="50"/>
      <c r="I50" s="36">
        <f t="shared" si="2"/>
        <v>10790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6">
        <v>45958.0</v>
      </c>
      <c r="B51" s="43" t="s">
        <v>63</v>
      </c>
      <c r="C51" s="48" t="s">
        <v>445</v>
      </c>
      <c r="D51" s="44"/>
      <c r="E51" s="111">
        <v>30000.0</v>
      </c>
      <c r="F51" s="34">
        <f t="shared" si="1"/>
        <v>1000918</v>
      </c>
      <c r="G51" s="50"/>
      <c r="H51" s="50"/>
      <c r="I51" s="36">
        <f t="shared" si="2"/>
        <v>10790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6">
        <v>45959.0</v>
      </c>
      <c r="B52" s="43" t="s">
        <v>63</v>
      </c>
      <c r="C52" s="43" t="s">
        <v>446</v>
      </c>
      <c r="D52" s="52"/>
      <c r="E52" s="111">
        <v>17000.0</v>
      </c>
      <c r="F52" s="34">
        <f t="shared" si="1"/>
        <v>983918</v>
      </c>
      <c r="G52" s="50"/>
      <c r="H52" s="29"/>
      <c r="I52" s="36">
        <f t="shared" si="2"/>
        <v>10790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6">
        <v>45959.0</v>
      </c>
      <c r="B53" s="43" t="s">
        <v>223</v>
      </c>
      <c r="C53" s="43" t="s">
        <v>447</v>
      </c>
      <c r="D53" s="52"/>
      <c r="E53" s="111">
        <v>63200.0</v>
      </c>
      <c r="F53" s="34">
        <f t="shared" si="1"/>
        <v>920718</v>
      </c>
      <c r="G53" s="50"/>
      <c r="H53" s="50"/>
      <c r="I53" s="36">
        <f t="shared" si="2"/>
        <v>10790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6">
        <v>45959.0</v>
      </c>
      <c r="B54" s="43" t="s">
        <v>63</v>
      </c>
      <c r="C54" s="48" t="s">
        <v>227</v>
      </c>
      <c r="D54" s="52"/>
      <c r="E54" s="111">
        <v>10000.0</v>
      </c>
      <c r="F54" s="34">
        <f t="shared" si="1"/>
        <v>910718</v>
      </c>
      <c r="G54" s="50"/>
      <c r="H54" s="29"/>
      <c r="I54" s="36">
        <f t="shared" si="2"/>
        <v>10790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6">
        <v>45960.0</v>
      </c>
      <c r="B55" s="43" t="s">
        <v>63</v>
      </c>
      <c r="C55" s="48" t="s">
        <v>384</v>
      </c>
      <c r="D55" s="52">
        <v>429000.0</v>
      </c>
      <c r="E55" s="111"/>
      <c r="F55" s="34">
        <f t="shared" si="1"/>
        <v>1339718</v>
      </c>
      <c r="G55" s="29"/>
      <c r="H55" s="50">
        <v>300.0</v>
      </c>
      <c r="I55" s="36">
        <f t="shared" si="2"/>
        <v>10490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6">
        <v>45960.0</v>
      </c>
      <c r="B56" s="43" t="s">
        <v>223</v>
      </c>
      <c r="C56" s="43" t="s">
        <v>448</v>
      </c>
      <c r="D56" s="44"/>
      <c r="E56" s="111">
        <v>400000.0</v>
      </c>
      <c r="F56" s="34">
        <f t="shared" si="1"/>
        <v>939718</v>
      </c>
      <c r="G56" s="50"/>
      <c r="H56" s="29"/>
      <c r="I56" s="36">
        <f t="shared" si="2"/>
        <v>10490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6">
        <v>45961.0</v>
      </c>
      <c r="B57" s="43" t="s">
        <v>223</v>
      </c>
      <c r="C57" s="43" t="s">
        <v>449</v>
      </c>
      <c r="D57" s="44"/>
      <c r="E57" s="111"/>
      <c r="F57" s="34">
        <f t="shared" si="1"/>
        <v>939718</v>
      </c>
      <c r="G57" s="50"/>
      <c r="H57" s="35">
        <v>100.0</v>
      </c>
      <c r="I57" s="36">
        <f t="shared" si="2"/>
        <v>10390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6">
        <v>45961.0</v>
      </c>
      <c r="B58" s="33" t="s">
        <v>83</v>
      </c>
      <c r="C58" s="43" t="s">
        <v>450</v>
      </c>
      <c r="D58" s="56">
        <v>2843300.0</v>
      </c>
      <c r="E58" s="87"/>
      <c r="F58" s="34">
        <f t="shared" si="1"/>
        <v>3783018</v>
      </c>
      <c r="G58" s="50"/>
      <c r="H58" s="50"/>
      <c r="I58" s="36">
        <f t="shared" si="2"/>
        <v>10390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6">
        <v>45961.0</v>
      </c>
      <c r="B59" s="43" t="s">
        <v>223</v>
      </c>
      <c r="C59" s="43" t="s">
        <v>447</v>
      </c>
      <c r="D59" s="56"/>
      <c r="E59" s="111">
        <v>63140.0</v>
      </c>
      <c r="F59" s="34">
        <f t="shared" si="1"/>
        <v>3719878</v>
      </c>
      <c r="G59" s="50"/>
      <c r="H59" s="50"/>
      <c r="I59" s="36">
        <f t="shared" si="2"/>
        <v>10390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6"/>
      <c r="B60" s="33"/>
      <c r="C60" s="43"/>
      <c r="D60" s="26"/>
      <c r="E60" s="111"/>
      <c r="F60" s="34">
        <f t="shared" si="1"/>
        <v>3719878</v>
      </c>
      <c r="G60" s="50"/>
      <c r="H60" s="29"/>
      <c r="I60" s="36">
        <f t="shared" si="2"/>
        <v>10390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5"/>
      <c r="B61" s="33"/>
      <c r="C61" s="43"/>
      <c r="D61" s="26"/>
      <c r="E61" s="111"/>
      <c r="F61" s="34">
        <f t="shared" si="1"/>
        <v>3719878</v>
      </c>
      <c r="G61" s="50"/>
      <c r="H61" s="50"/>
      <c r="I61" s="36">
        <f t="shared" si="2"/>
        <v>10390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5"/>
      <c r="B62" s="33"/>
      <c r="C62" s="43"/>
      <c r="D62" s="26"/>
      <c r="E62" s="87"/>
      <c r="F62" s="34">
        <f t="shared" si="1"/>
        <v>3719878</v>
      </c>
      <c r="G62" s="29"/>
      <c r="H62" s="50"/>
      <c r="I62" s="36">
        <f t="shared" si="2"/>
        <v>10390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5"/>
      <c r="B63" s="33"/>
      <c r="C63" s="43"/>
      <c r="D63" s="26"/>
      <c r="E63" s="84"/>
      <c r="F63" s="34">
        <f t="shared" si="1"/>
        <v>3719878</v>
      </c>
      <c r="G63" s="50"/>
      <c r="H63" s="50"/>
      <c r="I63" s="36">
        <f t="shared" si="2"/>
        <v>10390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5"/>
      <c r="B64" s="33"/>
      <c r="C64" s="43"/>
      <c r="D64" s="26"/>
      <c r="E64" s="87"/>
      <c r="F64" s="34">
        <f t="shared" si="1"/>
        <v>3719878</v>
      </c>
      <c r="G64" s="38"/>
      <c r="H64" s="50"/>
      <c r="I64" s="36">
        <f t="shared" si="2"/>
        <v>10390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5"/>
      <c r="B65" s="33"/>
      <c r="C65" s="43"/>
      <c r="D65" s="26"/>
      <c r="E65" s="87"/>
      <c r="F65" s="34">
        <f t="shared" si="1"/>
        <v>3719878</v>
      </c>
      <c r="G65" s="28"/>
      <c r="H65" s="50"/>
      <c r="I65" s="36">
        <f t="shared" si="2"/>
        <v>10390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5"/>
      <c r="B66" s="33"/>
      <c r="C66" s="43"/>
      <c r="D66" s="26"/>
      <c r="E66" s="84"/>
      <c r="F66" s="34">
        <f t="shared" si="1"/>
        <v>3719878</v>
      </c>
      <c r="G66" s="38"/>
      <c r="H66" s="50"/>
      <c r="I66" s="36">
        <f t="shared" si="2"/>
        <v>10390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5"/>
      <c r="B67" s="33"/>
      <c r="C67" s="43"/>
      <c r="D67" s="26"/>
      <c r="E67" s="87"/>
      <c r="F67" s="34">
        <f t="shared" si="1"/>
        <v>3719878</v>
      </c>
      <c r="G67" s="38"/>
      <c r="H67" s="29"/>
      <c r="I67" s="36">
        <f t="shared" si="2"/>
        <v>10390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5"/>
      <c r="B68" s="33"/>
      <c r="C68" s="43"/>
      <c r="D68" s="56"/>
      <c r="E68" s="84"/>
      <c r="F68" s="34">
        <f t="shared" si="1"/>
        <v>3719878</v>
      </c>
      <c r="G68" s="38"/>
      <c r="H68" s="29"/>
      <c r="I68" s="36">
        <f t="shared" si="2"/>
        <v>10390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5"/>
      <c r="B69" s="33"/>
      <c r="C69" s="43"/>
      <c r="D69" s="26"/>
      <c r="E69" s="87"/>
      <c r="F69" s="34">
        <f t="shared" si="1"/>
        <v>3719878</v>
      </c>
      <c r="G69" s="29"/>
      <c r="H69" s="29"/>
      <c r="I69" s="36">
        <f t="shared" si="2"/>
        <v>10390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5"/>
      <c r="B70" s="33"/>
      <c r="C70" s="43"/>
      <c r="D70" s="26"/>
      <c r="E70" s="87"/>
      <c r="F70" s="34">
        <f t="shared" si="1"/>
        <v>3719878</v>
      </c>
      <c r="G70" s="29"/>
      <c r="H70" s="29"/>
      <c r="I70" s="36">
        <f t="shared" si="2"/>
        <v>10390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5"/>
      <c r="B71" s="33"/>
      <c r="C71" s="43"/>
      <c r="D71" s="26"/>
      <c r="E71" s="84"/>
      <c r="F71" s="34">
        <f t="shared" si="1"/>
        <v>3719878</v>
      </c>
      <c r="G71" s="29"/>
      <c r="H71" s="50"/>
      <c r="I71" s="36">
        <f t="shared" si="2"/>
        <v>10390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5"/>
      <c r="B72" s="33"/>
      <c r="C72" s="43"/>
      <c r="D72" s="26"/>
      <c r="E72" s="87"/>
      <c r="F72" s="34">
        <f t="shared" si="1"/>
        <v>3719878</v>
      </c>
      <c r="G72" s="29"/>
      <c r="H72" s="50"/>
      <c r="I72" s="36">
        <f t="shared" si="2"/>
        <v>10390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5"/>
      <c r="B73" s="33"/>
      <c r="C73" s="43"/>
      <c r="D73" s="26"/>
      <c r="E73" s="87"/>
      <c r="F73" s="34">
        <f t="shared" si="1"/>
        <v>3719878</v>
      </c>
      <c r="G73" s="29"/>
      <c r="H73" s="50"/>
      <c r="I73" s="36">
        <f t="shared" si="2"/>
        <v>10390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5"/>
      <c r="B74" s="33"/>
      <c r="C74" s="43"/>
      <c r="D74" s="26"/>
      <c r="E74" s="84"/>
      <c r="F74" s="34">
        <f t="shared" si="1"/>
        <v>3719878</v>
      </c>
      <c r="G74" s="29"/>
      <c r="H74" s="50"/>
      <c r="I74" s="36">
        <f t="shared" si="2"/>
        <v>10390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/>
      <c r="B75" s="33"/>
      <c r="C75" s="43"/>
      <c r="D75" s="26"/>
      <c r="E75" s="87"/>
      <c r="F75" s="34">
        <f t="shared" si="1"/>
        <v>3719878</v>
      </c>
      <c r="G75" s="29"/>
      <c r="H75" s="50"/>
      <c r="I75" s="36">
        <f t="shared" si="2"/>
        <v>10390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/>
      <c r="B76" s="33"/>
      <c r="C76" s="43"/>
      <c r="D76" s="26"/>
      <c r="E76" s="84"/>
      <c r="F76" s="34">
        <f t="shared" si="1"/>
        <v>3719878</v>
      </c>
      <c r="G76" s="29"/>
      <c r="H76" s="50"/>
      <c r="I76" s="36">
        <f t="shared" si="2"/>
        <v>10390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/>
      <c r="B77" s="33"/>
      <c r="C77" s="43"/>
      <c r="D77" s="26"/>
      <c r="E77" s="84"/>
      <c r="F77" s="34">
        <f t="shared" si="1"/>
        <v>3719878</v>
      </c>
      <c r="G77" s="50"/>
      <c r="H77" s="50"/>
      <c r="I77" s="36">
        <f t="shared" si="2"/>
        <v>10390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5"/>
      <c r="B78" s="33"/>
      <c r="C78" s="43"/>
      <c r="D78" s="26"/>
      <c r="E78" s="84"/>
      <c r="F78" s="34">
        <f t="shared" si="1"/>
        <v>3719878</v>
      </c>
      <c r="G78" s="50"/>
      <c r="H78" s="50"/>
      <c r="I78" s="36">
        <f t="shared" si="2"/>
        <v>10390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5"/>
      <c r="B79" s="33"/>
      <c r="C79" s="43"/>
      <c r="D79" s="26"/>
      <c r="E79" s="84"/>
      <c r="F79" s="34">
        <f t="shared" si="1"/>
        <v>3719878</v>
      </c>
      <c r="G79" s="29"/>
      <c r="H79" s="50"/>
      <c r="I79" s="36">
        <f t="shared" si="2"/>
        <v>10390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/>
      <c r="B80" s="33"/>
      <c r="C80" s="43"/>
      <c r="D80" s="26"/>
      <c r="E80" s="84"/>
      <c r="F80" s="34">
        <f t="shared" si="1"/>
        <v>3719878</v>
      </c>
      <c r="G80" s="50"/>
      <c r="H80" s="50"/>
      <c r="I80" s="36">
        <f t="shared" si="2"/>
        <v>10390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/>
      <c r="B81" s="33"/>
      <c r="C81" s="43"/>
      <c r="D81" s="26"/>
      <c r="E81" s="84"/>
      <c r="F81" s="34">
        <f t="shared" si="1"/>
        <v>3719878</v>
      </c>
      <c r="G81" s="29"/>
      <c r="H81" s="50"/>
      <c r="I81" s="36">
        <f t="shared" si="2"/>
        <v>10390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43"/>
      <c r="D82" s="26"/>
      <c r="E82" s="84"/>
      <c r="F82" s="34">
        <f t="shared" si="1"/>
        <v>3719878</v>
      </c>
      <c r="G82" s="29"/>
      <c r="H82" s="50"/>
      <c r="I82" s="36">
        <f t="shared" si="2"/>
        <v>10390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6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6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6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6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6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3"/>
      <c r="E88" s="6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3"/>
      <c r="E89" s="6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3"/>
      <c r="E90" s="6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3"/>
      <c r="E91" s="6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3"/>
      <c r="E92" s="6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3"/>
      <c r="E93" s="6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3"/>
      <c r="E94" s="6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3"/>
      <c r="E95" s="6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3"/>
      <c r="E96" s="6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3"/>
      <c r="E97" s="6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3"/>
      <c r="E98" s="6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6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6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6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6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6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6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6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6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6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6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6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6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6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6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6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6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6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6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6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6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6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6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6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6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6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6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6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6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6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6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6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6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6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6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6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6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6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6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6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6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6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6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6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6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6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6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6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6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6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6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6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6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6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6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6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6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6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6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6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6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6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6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6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6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6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6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6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6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6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6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6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6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6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6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6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6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6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6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6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6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6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6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6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6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6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6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6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6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6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6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6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6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6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6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6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6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6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6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6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6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6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6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6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6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6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6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6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6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6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6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6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6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6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6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6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6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6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6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6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6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6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6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6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6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6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6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6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6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6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6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6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6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6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6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6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6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6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6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6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6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6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6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6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6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6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6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6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6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6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6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6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6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6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6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6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6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6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6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6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6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6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6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6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6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6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6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6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6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6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6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6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6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6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6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6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6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6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6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6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6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6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6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6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6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6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6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6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6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6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6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6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6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6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6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6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6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6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6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6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6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6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6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6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6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6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6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6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6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6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6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6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6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6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6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6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6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6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6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6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6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6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6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6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6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6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6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6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6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6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6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6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6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6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6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6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6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6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6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6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6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6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6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6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6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6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6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6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6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6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6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6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6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6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6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6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6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6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6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6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6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6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6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6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6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6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6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6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6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6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6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6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6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6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6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6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6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6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6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6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6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6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6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6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6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6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6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6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6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6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6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6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6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6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6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6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6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6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6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6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6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6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6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6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6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6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6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6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6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6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6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6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6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6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6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6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6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6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6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6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6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6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6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6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6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6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6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6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6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6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6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6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6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6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6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6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6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6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6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6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6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6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6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6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6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6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6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6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6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6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6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6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6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6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6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6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6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6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6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6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6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6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6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6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6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6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6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6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6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6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6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6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6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6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6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6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6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6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6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6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6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6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6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6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6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6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6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6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6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6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6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6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6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6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6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6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6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6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6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6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6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6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6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6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6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6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6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6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6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6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6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6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6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6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6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6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6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6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6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6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6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6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6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6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6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6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6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6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6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6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6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6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6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6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6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6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6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6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6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6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6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6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6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6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6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6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6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6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6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6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6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6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6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6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6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6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6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6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6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6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6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6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6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6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6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6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6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6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6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6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6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6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6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6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6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6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6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6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6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6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6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6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6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6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6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6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6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6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6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6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6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6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6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6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6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6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6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6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6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6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6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6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6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6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6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6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6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6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6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6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6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6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6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6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6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6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6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6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6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6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6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6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6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6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6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6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6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6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6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6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6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6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6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6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6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6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6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6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6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6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6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6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6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6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6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6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6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6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6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6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6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6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6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6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6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6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6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6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6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6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6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6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6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6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6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6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6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6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6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6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6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6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6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6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6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6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6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6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6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6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6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6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6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6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6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6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6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6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6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6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6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6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6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6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6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6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6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6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6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6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6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6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6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6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6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6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6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6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6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6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6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6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6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6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6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6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6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6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6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6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6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6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6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6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6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6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6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6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6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6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6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6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6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6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6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6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6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6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6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6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6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6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6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6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6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6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6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6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6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6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6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6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6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6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6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6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6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6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6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6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6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6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6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6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6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6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6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6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6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6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6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6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6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6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6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6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6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6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6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6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6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6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6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6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6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6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6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6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6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6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6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6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6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6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6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6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6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6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6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6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6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6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6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6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6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6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6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6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6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6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6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6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6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6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6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6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6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6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6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6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6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6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6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6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6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6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6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6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6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6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6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6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6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6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6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6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6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6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6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6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6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6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6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6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6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6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6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6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6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6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6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6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6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6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6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6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6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6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6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6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6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6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6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6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6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6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6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6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6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6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6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6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6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6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6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6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6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6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6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6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6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6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6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6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6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6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6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6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6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6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6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6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6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6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6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6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6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6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6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6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6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6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6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6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6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6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6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6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6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6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6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6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6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6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6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6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6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6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6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6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6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6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6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6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6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6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6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6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6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6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6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6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6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6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6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6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6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6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6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6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6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6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6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6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6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6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6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6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6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6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6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6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6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6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6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6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6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6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6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6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6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6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6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6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6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6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6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6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6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6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6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6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6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6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6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6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6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6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6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6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6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6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6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6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6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6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6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6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6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6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6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6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6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6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6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6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6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6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6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6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6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6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6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6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6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6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6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69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69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69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69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69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69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69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69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69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69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69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69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69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69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6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5.38"/>
  </cols>
  <sheetData>
    <row r="1">
      <c r="A1" s="1" t="s">
        <v>451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15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/>
      <c r="B5" s="33"/>
      <c r="C5" s="43" t="s">
        <v>9</v>
      </c>
      <c r="D5" s="56">
        <v>3719878.0</v>
      </c>
      <c r="E5" s="84"/>
      <c r="F5" s="34">
        <f t="shared" ref="F5:F82" si="1">F4+D5-E5</f>
        <v>3719878</v>
      </c>
      <c r="G5" s="28"/>
      <c r="H5" s="29"/>
      <c r="I5" s="78">
        <v>10390.0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10">
        <v>45966.0</v>
      </c>
      <c r="B6" s="43" t="s">
        <v>83</v>
      </c>
      <c r="C6" s="43" t="s">
        <v>452</v>
      </c>
      <c r="D6" s="111">
        <v>382200.0</v>
      </c>
      <c r="E6" s="111"/>
      <c r="F6" s="34">
        <f t="shared" si="1"/>
        <v>4102078</v>
      </c>
      <c r="G6" s="28"/>
      <c r="H6" s="50"/>
      <c r="I6" s="36">
        <f t="shared" ref="I6:I82" si="2">I5+G6-H6</f>
        <v>10390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10">
        <v>45966.0</v>
      </c>
      <c r="B7" s="43" t="s">
        <v>63</v>
      </c>
      <c r="C7" s="48" t="s">
        <v>453</v>
      </c>
      <c r="D7" s="52"/>
      <c r="E7" s="111">
        <v>847600.0</v>
      </c>
      <c r="F7" s="34">
        <f t="shared" si="1"/>
        <v>3254478</v>
      </c>
      <c r="G7" s="50"/>
      <c r="H7" s="50"/>
      <c r="I7" s="36">
        <f t="shared" si="2"/>
        <v>10390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10">
        <v>45966.0</v>
      </c>
      <c r="B8" s="43" t="s">
        <v>63</v>
      </c>
      <c r="C8" s="48" t="s">
        <v>303</v>
      </c>
      <c r="D8" s="89"/>
      <c r="E8" s="111"/>
      <c r="F8" s="34">
        <f t="shared" si="1"/>
        <v>3254478</v>
      </c>
      <c r="G8" s="50"/>
      <c r="H8" s="28">
        <v>800.0</v>
      </c>
      <c r="I8" s="36">
        <f t="shared" si="2"/>
        <v>9590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0">
        <v>45966.0</v>
      </c>
      <c r="B9" s="43" t="s">
        <v>63</v>
      </c>
      <c r="C9" s="48" t="s">
        <v>409</v>
      </c>
      <c r="D9" s="111"/>
      <c r="E9" s="111"/>
      <c r="F9" s="34">
        <f t="shared" si="1"/>
        <v>3254478</v>
      </c>
      <c r="G9" s="29"/>
      <c r="H9" s="50">
        <v>1750.0</v>
      </c>
      <c r="I9" s="36">
        <f t="shared" si="2"/>
        <v>7840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0">
        <v>45966.0</v>
      </c>
      <c r="B10" s="43" t="s">
        <v>63</v>
      </c>
      <c r="C10" s="48" t="s">
        <v>355</v>
      </c>
      <c r="D10" s="44"/>
      <c r="E10" s="111"/>
      <c r="F10" s="34">
        <f t="shared" si="1"/>
        <v>3254478</v>
      </c>
      <c r="G10" s="50"/>
      <c r="H10" s="50">
        <v>1750.0</v>
      </c>
      <c r="I10" s="36">
        <f t="shared" si="2"/>
        <v>6090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0">
        <v>45966.0</v>
      </c>
      <c r="B11" s="43" t="s">
        <v>63</v>
      </c>
      <c r="C11" s="48" t="s">
        <v>411</v>
      </c>
      <c r="D11" s="52"/>
      <c r="E11" s="111"/>
      <c r="F11" s="34">
        <f t="shared" si="1"/>
        <v>3254478</v>
      </c>
      <c r="G11" s="50"/>
      <c r="H11" s="50">
        <v>1500.0</v>
      </c>
      <c r="I11" s="36">
        <f t="shared" si="2"/>
        <v>4590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10">
        <v>45966.0</v>
      </c>
      <c r="B12" s="43" t="s">
        <v>83</v>
      </c>
      <c r="C12" s="127" t="s">
        <v>454</v>
      </c>
      <c r="D12" s="107">
        <v>457750.0</v>
      </c>
      <c r="E12" s="128"/>
      <c r="F12" s="34">
        <f t="shared" si="1"/>
        <v>3712228</v>
      </c>
      <c r="G12" s="50"/>
      <c r="H12" s="50"/>
      <c r="I12" s="36">
        <f t="shared" si="2"/>
        <v>4590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10">
        <v>45967.0</v>
      </c>
      <c r="B13" s="43" t="s">
        <v>83</v>
      </c>
      <c r="C13" s="43" t="s">
        <v>455</v>
      </c>
      <c r="D13" s="52"/>
      <c r="E13" s="111">
        <v>2500.0</v>
      </c>
      <c r="F13" s="34">
        <f t="shared" si="1"/>
        <v>3709728</v>
      </c>
      <c r="G13" s="50"/>
      <c r="H13" s="28"/>
      <c r="I13" s="36">
        <f t="shared" si="2"/>
        <v>4590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10">
        <v>45967.0</v>
      </c>
      <c r="B14" s="43" t="s">
        <v>223</v>
      </c>
      <c r="C14" s="43" t="s">
        <v>456</v>
      </c>
      <c r="D14" s="52"/>
      <c r="E14" s="111">
        <v>6500.0</v>
      </c>
      <c r="F14" s="34">
        <f t="shared" si="1"/>
        <v>3703228</v>
      </c>
      <c r="G14" s="38"/>
      <c r="H14" s="50"/>
      <c r="I14" s="36">
        <f t="shared" si="2"/>
        <v>4590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10">
        <v>45967.0</v>
      </c>
      <c r="B15" s="43" t="s">
        <v>83</v>
      </c>
      <c r="C15" s="43" t="s">
        <v>457</v>
      </c>
      <c r="D15" s="52"/>
      <c r="E15" s="111"/>
      <c r="F15" s="34">
        <f t="shared" si="1"/>
        <v>3703228</v>
      </c>
      <c r="G15" s="28">
        <v>450.0</v>
      </c>
      <c r="H15" s="28"/>
      <c r="I15" s="36">
        <f t="shared" si="2"/>
        <v>5040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10">
        <v>45967.0</v>
      </c>
      <c r="B16" s="43" t="s">
        <v>63</v>
      </c>
      <c r="C16" s="48" t="s">
        <v>458</v>
      </c>
      <c r="D16" s="52"/>
      <c r="E16" s="111">
        <v>4900.0</v>
      </c>
      <c r="F16" s="34">
        <f t="shared" si="1"/>
        <v>3698328</v>
      </c>
      <c r="G16" s="50"/>
      <c r="H16" s="50"/>
      <c r="I16" s="36">
        <f t="shared" si="2"/>
        <v>5040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10">
        <v>45967.0</v>
      </c>
      <c r="B17" s="43" t="s">
        <v>83</v>
      </c>
      <c r="C17" s="43" t="s">
        <v>459</v>
      </c>
      <c r="D17" s="111">
        <v>408800.0</v>
      </c>
      <c r="E17" s="111"/>
      <c r="F17" s="34">
        <f t="shared" si="1"/>
        <v>4107128</v>
      </c>
      <c r="G17" s="50"/>
      <c r="H17" s="50"/>
      <c r="I17" s="36">
        <f t="shared" si="2"/>
        <v>5040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10">
        <v>45968.0</v>
      </c>
      <c r="B18" s="43" t="s">
        <v>223</v>
      </c>
      <c r="C18" s="43" t="s">
        <v>460</v>
      </c>
      <c r="D18" s="52"/>
      <c r="E18" s="111">
        <v>300000.0</v>
      </c>
      <c r="F18" s="34">
        <f t="shared" si="1"/>
        <v>3807128</v>
      </c>
      <c r="G18" s="54"/>
      <c r="H18" s="50"/>
      <c r="I18" s="36">
        <f t="shared" si="2"/>
        <v>5040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10">
        <v>45968.0</v>
      </c>
      <c r="B19" s="43" t="s">
        <v>223</v>
      </c>
      <c r="C19" s="43" t="s">
        <v>461</v>
      </c>
      <c r="D19" s="111"/>
      <c r="E19" s="111">
        <v>1098500.0</v>
      </c>
      <c r="F19" s="34">
        <f t="shared" si="1"/>
        <v>2708628</v>
      </c>
      <c r="G19" s="50"/>
      <c r="H19" s="50"/>
      <c r="I19" s="36">
        <f t="shared" si="2"/>
        <v>5040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10">
        <v>45968.0</v>
      </c>
      <c r="B20" s="43" t="s">
        <v>223</v>
      </c>
      <c r="C20" s="43" t="s">
        <v>462</v>
      </c>
      <c r="D20" s="52"/>
      <c r="E20" s="111">
        <v>1138000.0</v>
      </c>
      <c r="F20" s="34">
        <f t="shared" si="1"/>
        <v>1570628</v>
      </c>
      <c r="G20" s="50"/>
      <c r="H20" s="129"/>
      <c r="I20" s="36">
        <f t="shared" si="2"/>
        <v>5040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10">
        <v>45968.0</v>
      </c>
      <c r="B21" s="43" t="s">
        <v>63</v>
      </c>
      <c r="C21" s="48" t="s">
        <v>108</v>
      </c>
      <c r="D21" s="44"/>
      <c r="E21" s="111">
        <v>10000.0</v>
      </c>
      <c r="F21" s="34">
        <f t="shared" si="1"/>
        <v>1560628</v>
      </c>
      <c r="G21" s="54"/>
      <c r="H21" s="54"/>
      <c r="I21" s="36">
        <f t="shared" si="2"/>
        <v>5040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91">
        <v>45971.0</v>
      </c>
      <c r="B22" s="43" t="s">
        <v>63</v>
      </c>
      <c r="C22" s="48" t="s">
        <v>319</v>
      </c>
      <c r="D22" s="44"/>
      <c r="E22" s="111">
        <v>240000.0</v>
      </c>
      <c r="F22" s="34">
        <f t="shared" si="1"/>
        <v>1320628</v>
      </c>
      <c r="G22" s="29"/>
      <c r="H22" s="50"/>
      <c r="I22" s="36">
        <f t="shared" si="2"/>
        <v>5040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91">
        <v>45971.0</v>
      </c>
      <c r="B23" s="43" t="s">
        <v>223</v>
      </c>
      <c r="C23" s="43" t="s">
        <v>463</v>
      </c>
      <c r="D23" s="52"/>
      <c r="E23" s="111"/>
      <c r="F23" s="34">
        <f t="shared" si="1"/>
        <v>1320628</v>
      </c>
      <c r="G23" s="50">
        <v>5000.0</v>
      </c>
      <c r="H23" s="28"/>
      <c r="I23" s="36">
        <f t="shared" si="2"/>
        <v>10040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91">
        <v>45971.0</v>
      </c>
      <c r="B24" s="43" t="s">
        <v>53</v>
      </c>
      <c r="C24" s="43" t="s">
        <v>464</v>
      </c>
      <c r="D24" s="52">
        <v>1405000.0</v>
      </c>
      <c r="E24" s="52"/>
      <c r="F24" s="34">
        <f t="shared" si="1"/>
        <v>2725628</v>
      </c>
      <c r="G24" s="29"/>
      <c r="H24" s="50">
        <v>1000.0</v>
      </c>
      <c r="I24" s="36">
        <f t="shared" si="2"/>
        <v>9040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91">
        <v>45971.0</v>
      </c>
      <c r="B25" s="43" t="s">
        <v>83</v>
      </c>
      <c r="C25" s="43" t="s">
        <v>465</v>
      </c>
      <c r="D25" s="52">
        <v>1450.0</v>
      </c>
      <c r="E25" s="111"/>
      <c r="F25" s="34">
        <f t="shared" si="1"/>
        <v>2727078</v>
      </c>
      <c r="G25" s="50">
        <v>165.0</v>
      </c>
      <c r="H25" s="50"/>
      <c r="I25" s="36">
        <f t="shared" si="2"/>
        <v>9205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1">
        <v>45971.0</v>
      </c>
      <c r="B26" s="43" t="s">
        <v>223</v>
      </c>
      <c r="C26" s="43" t="s">
        <v>466</v>
      </c>
      <c r="D26" s="52"/>
      <c r="E26" s="111">
        <v>365000.0</v>
      </c>
      <c r="F26" s="34">
        <f t="shared" si="1"/>
        <v>2362078</v>
      </c>
      <c r="G26" s="50"/>
      <c r="H26" s="28"/>
      <c r="I26" s="36">
        <f t="shared" si="2"/>
        <v>9205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1">
        <v>45971.0</v>
      </c>
      <c r="B27" s="43" t="s">
        <v>63</v>
      </c>
      <c r="C27" s="48" t="s">
        <v>467</v>
      </c>
      <c r="D27" s="111"/>
      <c r="E27" s="111">
        <v>350000.0</v>
      </c>
      <c r="F27" s="34">
        <f t="shared" si="1"/>
        <v>2012078</v>
      </c>
      <c r="G27" s="50"/>
      <c r="H27" s="50"/>
      <c r="I27" s="36">
        <f t="shared" si="2"/>
        <v>9205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1">
        <v>45971.0</v>
      </c>
      <c r="B28" s="43" t="s">
        <v>83</v>
      </c>
      <c r="C28" s="43" t="s">
        <v>468</v>
      </c>
      <c r="D28" s="44"/>
      <c r="E28" s="111"/>
      <c r="F28" s="34">
        <f t="shared" si="1"/>
        <v>2012078</v>
      </c>
      <c r="G28" s="50">
        <v>750.0</v>
      </c>
      <c r="H28" s="50"/>
      <c r="I28" s="36">
        <f t="shared" si="2"/>
        <v>9955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1">
        <v>45971.0</v>
      </c>
      <c r="B29" s="43" t="s">
        <v>83</v>
      </c>
      <c r="C29" s="43" t="s">
        <v>469</v>
      </c>
      <c r="D29" s="111">
        <v>523800.0</v>
      </c>
      <c r="E29" s="111"/>
      <c r="F29" s="34">
        <f t="shared" si="1"/>
        <v>2535878</v>
      </c>
      <c r="G29" s="50"/>
      <c r="H29" s="50"/>
      <c r="I29" s="36">
        <f t="shared" si="2"/>
        <v>9955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1">
        <v>45971.0</v>
      </c>
      <c r="B30" s="43" t="s">
        <v>83</v>
      </c>
      <c r="C30" s="43" t="s">
        <v>470</v>
      </c>
      <c r="D30" s="111">
        <v>582000.0</v>
      </c>
      <c r="E30" s="111"/>
      <c r="F30" s="34">
        <f t="shared" si="1"/>
        <v>3117878</v>
      </c>
      <c r="G30" s="50"/>
      <c r="H30" s="50"/>
      <c r="I30" s="36">
        <f t="shared" si="2"/>
        <v>9955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1">
        <v>45971.0</v>
      </c>
      <c r="B31" s="43" t="s">
        <v>83</v>
      </c>
      <c r="C31" s="43" t="s">
        <v>471</v>
      </c>
      <c r="D31" s="111">
        <v>397970.0</v>
      </c>
      <c r="E31" s="111"/>
      <c r="F31" s="34">
        <f t="shared" si="1"/>
        <v>3515848</v>
      </c>
      <c r="G31" s="50"/>
      <c r="H31" s="28"/>
      <c r="I31" s="36">
        <f t="shared" si="2"/>
        <v>9955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1">
        <v>45971.0</v>
      </c>
      <c r="B32" s="43" t="s">
        <v>83</v>
      </c>
      <c r="C32" s="43" t="s">
        <v>472</v>
      </c>
      <c r="D32" s="44"/>
      <c r="E32" s="111"/>
      <c r="F32" s="34">
        <f t="shared" si="1"/>
        <v>3515848</v>
      </c>
      <c r="G32" s="50">
        <v>250.0</v>
      </c>
      <c r="H32" s="50"/>
      <c r="I32" s="36">
        <f t="shared" si="2"/>
        <v>10205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1">
        <v>45971.0</v>
      </c>
      <c r="B33" s="43" t="s">
        <v>223</v>
      </c>
      <c r="C33" s="101" t="s">
        <v>473</v>
      </c>
      <c r="D33" s="89"/>
      <c r="E33" s="111">
        <v>100000.0</v>
      </c>
      <c r="F33" s="34">
        <f t="shared" si="1"/>
        <v>3415848</v>
      </c>
      <c r="G33" s="50"/>
      <c r="H33" s="28">
        <v>1300.0</v>
      </c>
      <c r="I33" s="36">
        <f t="shared" si="2"/>
        <v>8905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1">
        <v>45972.0</v>
      </c>
      <c r="B34" s="43" t="s">
        <v>223</v>
      </c>
      <c r="C34" s="43" t="s">
        <v>474</v>
      </c>
      <c r="D34" s="111"/>
      <c r="E34" s="111">
        <v>17000.0</v>
      </c>
      <c r="F34" s="34">
        <f t="shared" si="1"/>
        <v>3398848</v>
      </c>
      <c r="G34" s="50"/>
      <c r="H34" s="50"/>
      <c r="I34" s="36">
        <f t="shared" si="2"/>
        <v>8905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45972.0</v>
      </c>
      <c r="B35" s="43" t="s">
        <v>63</v>
      </c>
      <c r="C35" s="48" t="s">
        <v>475</v>
      </c>
      <c r="D35" s="44"/>
      <c r="E35" s="111">
        <v>350000.0</v>
      </c>
      <c r="F35" s="92">
        <f t="shared" si="1"/>
        <v>3048848</v>
      </c>
      <c r="G35" s="54"/>
      <c r="H35" s="54"/>
      <c r="I35" s="93">
        <f t="shared" si="2"/>
        <v>8905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45972.0</v>
      </c>
      <c r="B36" s="43" t="s">
        <v>63</v>
      </c>
      <c r="C36" s="48" t="s">
        <v>476</v>
      </c>
      <c r="D36" s="52"/>
      <c r="E36" s="111">
        <v>50000.0</v>
      </c>
      <c r="F36" s="34">
        <f t="shared" si="1"/>
        <v>2998848</v>
      </c>
      <c r="G36" s="50"/>
      <c r="H36" s="50"/>
      <c r="I36" s="36">
        <f t="shared" si="2"/>
        <v>8905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45972.0</v>
      </c>
      <c r="B37" s="43" t="s">
        <v>63</v>
      </c>
      <c r="C37" s="48" t="s">
        <v>477</v>
      </c>
      <c r="D37" s="52"/>
      <c r="E37" s="111">
        <v>43300.0</v>
      </c>
      <c r="F37" s="34">
        <f t="shared" si="1"/>
        <v>2955548</v>
      </c>
      <c r="G37" s="28"/>
      <c r="H37" s="50"/>
      <c r="I37" s="36">
        <f t="shared" si="2"/>
        <v>8905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1">
        <v>45973.0</v>
      </c>
      <c r="B38" s="43" t="s">
        <v>223</v>
      </c>
      <c r="C38" s="43" t="s">
        <v>478</v>
      </c>
      <c r="D38" s="52"/>
      <c r="E38" s="111">
        <v>270000.0</v>
      </c>
      <c r="F38" s="34">
        <f t="shared" si="1"/>
        <v>2685548</v>
      </c>
      <c r="G38" s="50"/>
      <c r="H38" s="28"/>
      <c r="I38" s="36">
        <f t="shared" si="2"/>
        <v>8905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1">
        <v>45973.0</v>
      </c>
      <c r="B39" s="43" t="s">
        <v>63</v>
      </c>
      <c r="C39" s="48" t="s">
        <v>479</v>
      </c>
      <c r="D39" s="52"/>
      <c r="E39" s="111">
        <v>515000.0</v>
      </c>
      <c r="F39" s="34">
        <f t="shared" si="1"/>
        <v>2170548</v>
      </c>
      <c r="G39" s="50"/>
      <c r="H39" s="29"/>
      <c r="I39" s="36">
        <f t="shared" si="2"/>
        <v>8905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1">
        <v>45973.0</v>
      </c>
      <c r="B40" s="126" t="s">
        <v>63</v>
      </c>
      <c r="C40" s="48" t="s">
        <v>480</v>
      </c>
      <c r="D40" s="89"/>
      <c r="E40" s="111">
        <v>83490.0</v>
      </c>
      <c r="F40" s="92">
        <f t="shared" si="1"/>
        <v>2087058</v>
      </c>
      <c r="G40" s="54"/>
      <c r="H40" s="97"/>
      <c r="I40" s="98">
        <f t="shared" si="2"/>
        <v>8905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91">
        <v>45973.0</v>
      </c>
      <c r="B41" s="43" t="s">
        <v>63</v>
      </c>
      <c r="C41" s="99" t="s">
        <v>327</v>
      </c>
      <c r="D41" s="102"/>
      <c r="E41" s="111">
        <v>60000.0</v>
      </c>
      <c r="F41" s="34">
        <f t="shared" si="1"/>
        <v>2027058</v>
      </c>
      <c r="G41" s="28"/>
      <c r="H41" s="28"/>
      <c r="I41" s="36">
        <f t="shared" si="2"/>
        <v>8905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1">
        <v>45973.0</v>
      </c>
      <c r="B42" s="43" t="s">
        <v>53</v>
      </c>
      <c r="C42" s="43" t="s">
        <v>481</v>
      </c>
      <c r="D42" s="52">
        <v>4230000.0</v>
      </c>
      <c r="E42" s="111"/>
      <c r="F42" s="34">
        <f t="shared" si="1"/>
        <v>6257058</v>
      </c>
      <c r="G42" s="50"/>
      <c r="H42" s="50">
        <v>3000.0</v>
      </c>
      <c r="I42" s="36">
        <f t="shared" si="2"/>
        <v>5905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1">
        <v>45974.0</v>
      </c>
      <c r="B43" s="43" t="s">
        <v>223</v>
      </c>
      <c r="C43" s="43" t="s">
        <v>482</v>
      </c>
      <c r="D43" s="52"/>
      <c r="E43" s="111"/>
      <c r="F43" s="34">
        <f t="shared" si="1"/>
        <v>6257058</v>
      </c>
      <c r="G43" s="50"/>
      <c r="H43" s="50">
        <v>1150.0</v>
      </c>
      <c r="I43" s="36">
        <f t="shared" si="2"/>
        <v>4755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1">
        <v>45974.0</v>
      </c>
      <c r="B44" s="43" t="s">
        <v>223</v>
      </c>
      <c r="C44" s="43" t="s">
        <v>483</v>
      </c>
      <c r="D44" s="52"/>
      <c r="E44" s="52"/>
      <c r="F44" s="34">
        <f t="shared" si="1"/>
        <v>6257058</v>
      </c>
      <c r="G44" s="50"/>
      <c r="H44" s="50">
        <v>1120.0</v>
      </c>
      <c r="I44" s="36">
        <f t="shared" si="2"/>
        <v>3635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1">
        <v>45974.0</v>
      </c>
      <c r="B45" s="43" t="s">
        <v>53</v>
      </c>
      <c r="C45" s="43" t="s">
        <v>484</v>
      </c>
      <c r="D45" s="111">
        <v>2067315.0</v>
      </c>
      <c r="E45" s="111"/>
      <c r="F45" s="34">
        <f t="shared" si="1"/>
        <v>8324373</v>
      </c>
      <c r="G45" s="29"/>
      <c r="H45" s="50">
        <v>1500.0</v>
      </c>
      <c r="I45" s="36">
        <f t="shared" si="2"/>
        <v>2135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1">
        <v>45974.0</v>
      </c>
      <c r="B46" s="43" t="s">
        <v>223</v>
      </c>
      <c r="C46" s="43" t="s">
        <v>485</v>
      </c>
      <c r="D46" s="52">
        <v>701000.0</v>
      </c>
      <c r="E46" s="111"/>
      <c r="F46" s="34">
        <f t="shared" si="1"/>
        <v>9025373</v>
      </c>
      <c r="G46" s="29"/>
      <c r="H46" s="50"/>
      <c r="I46" s="36">
        <f t="shared" si="2"/>
        <v>2135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1">
        <v>45974.0</v>
      </c>
      <c r="B47" s="43" t="s">
        <v>223</v>
      </c>
      <c r="C47" s="43" t="s">
        <v>486</v>
      </c>
      <c r="D47" s="44"/>
      <c r="E47" s="111">
        <v>680000.0</v>
      </c>
      <c r="F47" s="34">
        <f t="shared" si="1"/>
        <v>8345373</v>
      </c>
      <c r="G47" s="50"/>
      <c r="H47" s="50"/>
      <c r="I47" s="36">
        <f t="shared" si="2"/>
        <v>2135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1">
        <v>45974.0</v>
      </c>
      <c r="B48" s="43" t="s">
        <v>63</v>
      </c>
      <c r="C48" s="48" t="s">
        <v>487</v>
      </c>
      <c r="D48" s="44"/>
      <c r="E48" s="111">
        <v>6500.0</v>
      </c>
      <c r="F48" s="34">
        <f t="shared" si="1"/>
        <v>8338873</v>
      </c>
      <c r="G48" s="29"/>
      <c r="H48" s="50"/>
      <c r="I48" s="36">
        <f t="shared" si="2"/>
        <v>2135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6">
        <v>45979.0</v>
      </c>
      <c r="B49" s="43" t="s">
        <v>63</v>
      </c>
      <c r="C49" s="48" t="s">
        <v>488</v>
      </c>
      <c r="D49" s="52"/>
      <c r="E49" s="111">
        <v>4000.0</v>
      </c>
      <c r="F49" s="34">
        <f t="shared" si="1"/>
        <v>8334873</v>
      </c>
      <c r="G49" s="29"/>
      <c r="H49" s="50"/>
      <c r="I49" s="36">
        <f t="shared" si="2"/>
        <v>2135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6">
        <v>45979.0</v>
      </c>
      <c r="B50" s="43" t="s">
        <v>83</v>
      </c>
      <c r="C50" s="43" t="s">
        <v>489</v>
      </c>
      <c r="D50" s="52">
        <v>507500.0</v>
      </c>
      <c r="E50" s="118"/>
      <c r="F50" s="34">
        <f t="shared" si="1"/>
        <v>8842373</v>
      </c>
      <c r="G50" s="50"/>
      <c r="H50" s="50"/>
      <c r="I50" s="36">
        <f t="shared" si="2"/>
        <v>2135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6">
        <v>45980.0</v>
      </c>
      <c r="B51" s="43" t="s">
        <v>63</v>
      </c>
      <c r="C51" s="48" t="s">
        <v>490</v>
      </c>
      <c r="D51" s="44"/>
      <c r="E51" s="111">
        <v>30000.0</v>
      </c>
      <c r="F51" s="34">
        <f t="shared" si="1"/>
        <v>8812373</v>
      </c>
      <c r="G51" s="50"/>
      <c r="H51" s="50"/>
      <c r="I51" s="36">
        <f t="shared" si="2"/>
        <v>2135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6">
        <v>45981.0</v>
      </c>
      <c r="B52" s="43" t="s">
        <v>223</v>
      </c>
      <c r="C52" s="43" t="s">
        <v>491</v>
      </c>
      <c r="D52" s="52"/>
      <c r="E52" s="111">
        <v>504000.0</v>
      </c>
      <c r="F52" s="34">
        <f t="shared" si="1"/>
        <v>8308373</v>
      </c>
      <c r="G52" s="50"/>
      <c r="H52" s="29"/>
      <c r="I52" s="36">
        <f t="shared" si="2"/>
        <v>2135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6">
        <v>45981.0</v>
      </c>
      <c r="B53" s="43" t="s">
        <v>223</v>
      </c>
      <c r="C53" s="43" t="s">
        <v>492</v>
      </c>
      <c r="D53" s="52"/>
      <c r="E53" s="111">
        <v>250000.0</v>
      </c>
      <c r="F53" s="34">
        <f t="shared" si="1"/>
        <v>8058373</v>
      </c>
      <c r="G53" s="50"/>
      <c r="H53" s="50"/>
      <c r="I53" s="36">
        <f t="shared" si="2"/>
        <v>2135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6">
        <v>45981.0</v>
      </c>
      <c r="B54" s="43" t="s">
        <v>63</v>
      </c>
      <c r="C54" s="48" t="s">
        <v>493</v>
      </c>
      <c r="D54" s="52"/>
      <c r="E54" s="111">
        <v>11800.0</v>
      </c>
      <c r="F54" s="34">
        <f t="shared" si="1"/>
        <v>8046573</v>
      </c>
      <c r="G54" s="50"/>
      <c r="H54" s="29"/>
      <c r="I54" s="36">
        <f t="shared" si="2"/>
        <v>2135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6">
        <v>45981.0</v>
      </c>
      <c r="B55" s="43" t="s">
        <v>63</v>
      </c>
      <c r="C55" s="48" t="s">
        <v>494</v>
      </c>
      <c r="D55" s="52"/>
      <c r="E55" s="111">
        <v>95000.0</v>
      </c>
      <c r="F55" s="34">
        <f t="shared" si="1"/>
        <v>7951573</v>
      </c>
      <c r="G55" s="29"/>
      <c r="H55" s="50"/>
      <c r="I55" s="36">
        <f t="shared" si="2"/>
        <v>2135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6">
        <v>45981.0</v>
      </c>
      <c r="B56" s="43" t="s">
        <v>63</v>
      </c>
      <c r="C56" s="48" t="s">
        <v>495</v>
      </c>
      <c r="D56" s="44"/>
      <c r="E56" s="111">
        <v>120000.0</v>
      </c>
      <c r="F56" s="34">
        <f t="shared" si="1"/>
        <v>7831573</v>
      </c>
      <c r="G56" s="50"/>
      <c r="H56" s="29"/>
      <c r="I56" s="36">
        <f t="shared" si="2"/>
        <v>2135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6">
        <v>45981.0</v>
      </c>
      <c r="B57" s="43" t="s">
        <v>223</v>
      </c>
      <c r="C57" s="43" t="s">
        <v>496</v>
      </c>
      <c r="D57" s="44"/>
      <c r="E57" s="111">
        <v>200000.0</v>
      </c>
      <c r="F57" s="34">
        <f t="shared" si="1"/>
        <v>7631573</v>
      </c>
      <c r="G57" s="50"/>
      <c r="H57" s="35"/>
      <c r="I57" s="36">
        <f t="shared" si="2"/>
        <v>2135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6">
        <v>45987.0</v>
      </c>
      <c r="B58" s="33" t="s">
        <v>63</v>
      </c>
      <c r="C58" s="48" t="s">
        <v>497</v>
      </c>
      <c r="D58" s="56"/>
      <c r="E58" s="87">
        <v>50000.0</v>
      </c>
      <c r="F58" s="34">
        <f t="shared" si="1"/>
        <v>7581573</v>
      </c>
      <c r="G58" s="50"/>
      <c r="H58" s="50"/>
      <c r="I58" s="36">
        <f t="shared" si="2"/>
        <v>2135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6">
        <v>45987.0</v>
      </c>
      <c r="B59" s="33" t="s">
        <v>223</v>
      </c>
      <c r="C59" s="43" t="s">
        <v>498</v>
      </c>
      <c r="D59" s="56"/>
      <c r="E59" s="111"/>
      <c r="F59" s="34">
        <f t="shared" si="1"/>
        <v>7581573</v>
      </c>
      <c r="G59" s="50">
        <v>3500.0</v>
      </c>
      <c r="H59" s="50"/>
      <c r="I59" s="36">
        <f t="shared" si="2"/>
        <v>5635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6">
        <v>45988.0</v>
      </c>
      <c r="B60" s="33" t="s">
        <v>223</v>
      </c>
      <c r="C60" s="43" t="s">
        <v>499</v>
      </c>
      <c r="D60" s="26"/>
      <c r="E60" s="111"/>
      <c r="F60" s="34">
        <f t="shared" si="1"/>
        <v>7581573</v>
      </c>
      <c r="G60" s="50"/>
      <c r="H60" s="50">
        <v>1800.0</v>
      </c>
      <c r="I60" s="36">
        <f t="shared" si="2"/>
        <v>3835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6">
        <v>45988.0</v>
      </c>
      <c r="B61" s="33" t="s">
        <v>63</v>
      </c>
      <c r="C61" s="48" t="s">
        <v>500</v>
      </c>
      <c r="D61" s="26"/>
      <c r="E61" s="111">
        <v>6000.0</v>
      </c>
      <c r="F61" s="34">
        <f t="shared" si="1"/>
        <v>7575573</v>
      </c>
      <c r="G61" s="50"/>
      <c r="H61" s="50"/>
      <c r="I61" s="36">
        <f t="shared" si="2"/>
        <v>3835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6">
        <v>45988.0</v>
      </c>
      <c r="B62" s="33" t="s">
        <v>63</v>
      </c>
      <c r="C62" s="48" t="s">
        <v>501</v>
      </c>
      <c r="D62" s="26"/>
      <c r="E62" s="87">
        <v>15700.0</v>
      </c>
      <c r="F62" s="34">
        <f t="shared" si="1"/>
        <v>7559873</v>
      </c>
      <c r="G62" s="29"/>
      <c r="H62" s="50"/>
      <c r="I62" s="36">
        <f t="shared" si="2"/>
        <v>3835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6">
        <v>45988.0</v>
      </c>
      <c r="B63" s="33" t="s">
        <v>223</v>
      </c>
      <c r="C63" s="43" t="s">
        <v>319</v>
      </c>
      <c r="D63" s="26"/>
      <c r="E63" s="87">
        <v>240000.0</v>
      </c>
      <c r="F63" s="34">
        <f t="shared" si="1"/>
        <v>7319873</v>
      </c>
      <c r="G63" s="50"/>
      <c r="H63" s="50"/>
      <c r="I63" s="36">
        <f t="shared" si="2"/>
        <v>3835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6">
        <v>45988.0</v>
      </c>
      <c r="B64" s="33" t="s">
        <v>223</v>
      </c>
      <c r="C64" s="43" t="s">
        <v>502</v>
      </c>
      <c r="D64" s="26"/>
      <c r="E64" s="87"/>
      <c r="F64" s="34">
        <f t="shared" si="1"/>
        <v>7319873</v>
      </c>
      <c r="G64" s="28">
        <v>10000.0</v>
      </c>
      <c r="H64" s="50"/>
      <c r="I64" s="36">
        <f t="shared" si="2"/>
        <v>13835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6">
        <v>45988.0</v>
      </c>
      <c r="B65" s="33" t="s">
        <v>223</v>
      </c>
      <c r="C65" s="43" t="s">
        <v>503</v>
      </c>
      <c r="D65" s="26"/>
      <c r="E65" s="87"/>
      <c r="F65" s="34">
        <f t="shared" si="1"/>
        <v>7319873</v>
      </c>
      <c r="G65" s="28"/>
      <c r="H65" s="50">
        <v>4535.0</v>
      </c>
      <c r="I65" s="36">
        <f t="shared" si="2"/>
        <v>9300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6">
        <v>45988.0</v>
      </c>
      <c r="B66" s="33" t="s">
        <v>223</v>
      </c>
      <c r="C66" s="43" t="s">
        <v>504</v>
      </c>
      <c r="D66" s="56">
        <v>870000.0</v>
      </c>
      <c r="E66" s="84"/>
      <c r="F66" s="34">
        <f t="shared" si="1"/>
        <v>8189873</v>
      </c>
      <c r="G66" s="38"/>
      <c r="H66" s="50">
        <v>700.0</v>
      </c>
      <c r="I66" s="36">
        <f t="shared" si="2"/>
        <v>8600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5">
        <v>45989.0</v>
      </c>
      <c r="B67" s="33" t="s">
        <v>223</v>
      </c>
      <c r="C67" s="43" t="s">
        <v>505</v>
      </c>
      <c r="D67" s="26"/>
      <c r="E67" s="87">
        <v>504000.0</v>
      </c>
      <c r="F67" s="34">
        <f t="shared" si="1"/>
        <v>7685873</v>
      </c>
      <c r="G67" s="38"/>
      <c r="H67" s="29"/>
      <c r="I67" s="36">
        <f t="shared" si="2"/>
        <v>8600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5">
        <v>45989.0</v>
      </c>
      <c r="B68" s="33" t="s">
        <v>223</v>
      </c>
      <c r="C68" s="101" t="s">
        <v>506</v>
      </c>
      <c r="D68" s="56"/>
      <c r="E68" s="87">
        <v>200000.0</v>
      </c>
      <c r="F68" s="34">
        <f t="shared" si="1"/>
        <v>7485873</v>
      </c>
      <c r="G68" s="38"/>
      <c r="H68" s="29"/>
      <c r="I68" s="36">
        <f t="shared" si="2"/>
        <v>8600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5">
        <v>45989.0</v>
      </c>
      <c r="B69" s="33" t="s">
        <v>223</v>
      </c>
      <c r="C69" s="43" t="s">
        <v>501</v>
      </c>
      <c r="D69" s="26"/>
      <c r="E69" s="87">
        <v>23500.0</v>
      </c>
      <c r="F69" s="34">
        <f t="shared" si="1"/>
        <v>7462373</v>
      </c>
      <c r="G69" s="29"/>
      <c r="H69" s="29"/>
      <c r="I69" s="36">
        <f t="shared" si="2"/>
        <v>8600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5">
        <v>45989.0</v>
      </c>
      <c r="B70" s="33" t="s">
        <v>63</v>
      </c>
      <c r="C70" s="48" t="s">
        <v>390</v>
      </c>
      <c r="D70" s="26"/>
      <c r="E70" s="87">
        <v>23100.0</v>
      </c>
      <c r="F70" s="34">
        <f t="shared" si="1"/>
        <v>7439273</v>
      </c>
      <c r="G70" s="29"/>
      <c r="H70" s="29"/>
      <c r="I70" s="36">
        <f t="shared" si="2"/>
        <v>8600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5">
        <v>45989.0</v>
      </c>
      <c r="B71" s="33" t="s">
        <v>223</v>
      </c>
      <c r="C71" s="43" t="s">
        <v>507</v>
      </c>
      <c r="D71" s="26"/>
      <c r="E71" s="84"/>
      <c r="F71" s="34">
        <f t="shared" si="1"/>
        <v>7439273</v>
      </c>
      <c r="G71" s="29"/>
      <c r="H71" s="50">
        <v>540.0</v>
      </c>
      <c r="I71" s="36">
        <f t="shared" si="2"/>
        <v>8060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5">
        <v>45989.0</v>
      </c>
      <c r="B72" s="33" t="s">
        <v>223</v>
      </c>
      <c r="C72" s="43" t="s">
        <v>384</v>
      </c>
      <c r="D72" s="56">
        <v>1430000.0</v>
      </c>
      <c r="E72" s="87"/>
      <c r="F72" s="34">
        <f t="shared" si="1"/>
        <v>8869273</v>
      </c>
      <c r="G72" s="29"/>
      <c r="H72" s="50">
        <v>1000.0</v>
      </c>
      <c r="I72" s="36">
        <f t="shared" si="2"/>
        <v>7060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5">
        <v>45989.0</v>
      </c>
      <c r="B73" s="33" t="s">
        <v>223</v>
      </c>
      <c r="C73" s="43" t="s">
        <v>508</v>
      </c>
      <c r="D73" s="26"/>
      <c r="E73" s="130">
        <v>7191000.0</v>
      </c>
      <c r="F73" s="34">
        <f t="shared" si="1"/>
        <v>1678273</v>
      </c>
      <c r="G73" s="50">
        <v>5100.0</v>
      </c>
      <c r="H73" s="50"/>
      <c r="I73" s="36">
        <f t="shared" si="2"/>
        <v>12160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5">
        <v>45989.0</v>
      </c>
      <c r="B74" s="33" t="s">
        <v>223</v>
      </c>
      <c r="C74" s="43" t="s">
        <v>509</v>
      </c>
      <c r="D74" s="26"/>
      <c r="E74" s="84"/>
      <c r="F74" s="34">
        <f t="shared" si="1"/>
        <v>1678273</v>
      </c>
      <c r="G74" s="29"/>
      <c r="H74" s="50">
        <v>5100.0</v>
      </c>
      <c r="I74" s="36">
        <f t="shared" si="2"/>
        <v>7060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/>
      <c r="B75" s="33"/>
      <c r="C75" s="43"/>
      <c r="D75" s="26"/>
      <c r="E75" s="87"/>
      <c r="F75" s="34">
        <f t="shared" si="1"/>
        <v>1678273</v>
      </c>
      <c r="G75" s="29"/>
      <c r="H75" s="50"/>
      <c r="I75" s="36">
        <f t="shared" si="2"/>
        <v>7060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/>
      <c r="B76" s="33"/>
      <c r="C76" s="43"/>
      <c r="D76" s="26"/>
      <c r="E76" s="84"/>
      <c r="F76" s="34">
        <f t="shared" si="1"/>
        <v>1678273</v>
      </c>
      <c r="G76" s="29"/>
      <c r="H76" s="50"/>
      <c r="I76" s="36">
        <f t="shared" si="2"/>
        <v>7060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/>
      <c r="B77" s="33"/>
      <c r="C77" s="43"/>
      <c r="D77" s="26"/>
      <c r="E77" s="84"/>
      <c r="F77" s="34">
        <f t="shared" si="1"/>
        <v>1678273</v>
      </c>
      <c r="G77" s="50"/>
      <c r="H77" s="50"/>
      <c r="I77" s="36">
        <f t="shared" si="2"/>
        <v>7060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31"/>
      <c r="B78" s="132"/>
      <c r="C78" s="101"/>
      <c r="D78" s="133"/>
      <c r="E78" s="130"/>
      <c r="F78" s="34">
        <f t="shared" si="1"/>
        <v>1678273</v>
      </c>
      <c r="G78" s="119"/>
      <c r="H78" s="119"/>
      <c r="I78" s="36">
        <f t="shared" si="2"/>
        <v>7060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</row>
    <row r="79">
      <c r="A79" s="95"/>
      <c r="B79" s="33"/>
      <c r="C79" s="43"/>
      <c r="D79" s="26"/>
      <c r="E79" s="84"/>
      <c r="F79" s="34">
        <f t="shared" si="1"/>
        <v>1678273</v>
      </c>
      <c r="G79" s="29"/>
      <c r="H79" s="50"/>
      <c r="I79" s="36">
        <f t="shared" si="2"/>
        <v>7060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/>
      <c r="B80" s="33"/>
      <c r="C80" s="43"/>
      <c r="D80" s="26"/>
      <c r="E80" s="84"/>
      <c r="F80" s="34">
        <f t="shared" si="1"/>
        <v>1678273</v>
      </c>
      <c r="G80" s="50"/>
      <c r="H80" s="50"/>
      <c r="I80" s="36">
        <f t="shared" si="2"/>
        <v>7060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/>
      <c r="B81" s="33"/>
      <c r="C81" s="43"/>
      <c r="D81" s="26"/>
      <c r="E81" s="84"/>
      <c r="F81" s="34">
        <f t="shared" si="1"/>
        <v>1678273</v>
      </c>
      <c r="G81" s="29"/>
      <c r="H81" s="50"/>
      <c r="I81" s="36">
        <f t="shared" si="2"/>
        <v>7060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43"/>
      <c r="D82" s="26"/>
      <c r="E82" s="84"/>
      <c r="F82" s="34">
        <f t="shared" si="1"/>
        <v>1678273</v>
      </c>
      <c r="G82" s="29"/>
      <c r="H82" s="50"/>
      <c r="I82" s="36">
        <f t="shared" si="2"/>
        <v>7060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6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6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6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6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6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60"/>
      <c r="E88" s="106"/>
      <c r="F88" s="6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60"/>
      <c r="E89" s="106"/>
      <c r="F89" s="6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60"/>
      <c r="E90" s="106"/>
      <c r="F90" s="6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60"/>
      <c r="E91" s="111"/>
      <c r="F91" s="5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60"/>
      <c r="E92" s="111"/>
      <c r="F92" s="11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60"/>
      <c r="E93" s="111"/>
      <c r="F93" s="11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60"/>
      <c r="E94" s="111"/>
      <c r="F94" s="11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60"/>
      <c r="E95" s="111"/>
      <c r="F95" s="11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60"/>
      <c r="E96" s="111"/>
      <c r="F96" s="11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60"/>
      <c r="E97" s="111"/>
      <c r="F97" s="11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60"/>
      <c r="E98" s="106"/>
      <c r="F98" s="6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6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6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6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6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6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6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6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6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6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6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6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6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6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6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6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6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6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6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6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6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6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6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6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6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6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6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6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6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6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6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6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6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6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6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6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6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6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6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6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6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6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6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6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6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6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6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6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6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6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6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6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6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6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6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6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6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6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6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6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6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6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6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6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6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6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6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6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6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6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6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6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6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6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6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6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6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6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6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6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6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6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6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6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6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6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6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6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6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6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6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6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6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6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6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6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6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6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6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6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6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6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6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6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6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6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6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6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6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6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6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6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6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6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6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6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6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6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6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6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6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6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6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6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6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6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6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6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6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6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6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6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6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6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6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6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6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6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6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6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6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6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6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6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6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6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6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6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6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6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6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6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6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6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6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6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6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6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6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6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6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6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6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6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6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6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6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6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6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6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6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6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6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6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6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6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6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6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6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6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6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6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6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6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6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6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6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6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6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6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6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6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6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6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6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6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6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6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6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6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6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6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6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6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6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6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6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6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6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6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6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6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6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6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6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6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6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6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6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6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6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6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6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6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6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6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6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6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6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6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6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6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6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69"/>
      <c r="F331" s="3"/>
      <c r="G331" s="6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69"/>
      <c r="F332" s="3"/>
      <c r="G332" s="134">
        <v>314428.0</v>
      </c>
      <c r="H332" s="135">
        <v>536.0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69"/>
      <c r="F333" s="3"/>
      <c r="G333" s="136">
        <v>169065.0</v>
      </c>
      <c r="H333" s="11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69"/>
      <c r="F334" s="3"/>
      <c r="G334" s="136">
        <v>790000.0</v>
      </c>
      <c r="H334" s="11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69"/>
      <c r="F335" s="3"/>
      <c r="G335" s="136">
        <v>200000.0</v>
      </c>
      <c r="H335" s="11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69"/>
      <c r="F336" s="3"/>
      <c r="G336" s="136">
        <v>4006560.0</v>
      </c>
      <c r="H336" s="11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69"/>
      <c r="F337" s="3"/>
      <c r="G337" s="136">
        <v>280000.0</v>
      </c>
      <c r="H337" s="11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69"/>
      <c r="F338" s="3"/>
      <c r="G338" s="136">
        <v>447000.0</v>
      </c>
      <c r="H338" s="11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69"/>
      <c r="F339" s="3"/>
      <c r="G339" s="6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69"/>
      <c r="F340" s="3"/>
      <c r="G340" s="6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69"/>
      <c r="F341" s="3"/>
      <c r="G341" s="6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6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6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6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6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6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6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6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6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6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6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6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6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6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6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6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6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6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6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6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6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6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6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6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6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6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6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6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6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6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6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6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6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6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6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6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6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6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6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6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6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6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6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6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6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6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6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6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6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6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6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6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6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6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6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6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6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6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6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6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6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6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6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6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6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6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6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6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6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6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6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6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6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6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6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6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6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6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6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6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6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6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6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6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6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6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6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6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6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6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6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6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6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6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6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6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6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6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6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6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6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6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6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6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6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6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6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6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6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6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6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6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6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6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6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6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6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6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6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6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6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6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6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6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6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6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6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6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6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6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6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6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6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6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6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6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6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6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6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6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6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6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6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6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6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6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6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6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6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6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6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6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6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6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6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6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6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6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6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6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6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6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6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6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6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6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6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6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6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6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6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6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6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6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6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6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6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6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6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6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6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6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6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6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6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6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6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6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6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6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6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6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6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6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6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6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6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6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6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6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6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6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6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6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6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6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6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6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6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6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6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6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6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6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6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6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6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6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6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6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6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6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6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6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6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6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6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6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6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6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6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6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6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6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6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6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6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6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6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6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6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6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6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6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6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6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6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6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6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6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6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6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6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6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6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6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6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6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6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6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6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6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6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6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6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6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6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6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6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6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6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6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6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6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6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6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6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6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6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6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6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6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6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6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6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6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6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6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6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6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6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6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6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6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6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6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6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6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6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6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6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6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6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6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6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6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6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6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6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6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6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6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6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6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6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6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6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6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6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6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6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6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6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6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6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6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6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6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6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6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6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6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6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6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6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6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6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6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6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6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6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6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6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6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6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6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6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6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6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6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6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6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6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6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6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6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6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6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6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6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6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6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6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6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6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6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6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6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6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6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6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6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6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6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6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6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6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6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6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6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6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6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6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6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6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6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6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6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6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6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6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6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6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6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6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6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6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6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6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6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6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6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6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6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6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6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6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6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6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6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6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6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6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6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6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6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6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6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6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6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6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6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6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6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6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6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6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6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6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6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6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6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6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6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6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6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6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6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6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6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6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6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6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6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6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6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6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6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6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6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6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6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6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6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6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6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6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6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6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6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6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6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6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6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6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6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6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6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6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6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6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6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6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6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6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6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6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6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6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6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6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6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6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6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6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6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6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6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6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6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6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6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6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6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6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6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6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6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6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6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6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6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6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6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6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6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6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6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6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6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6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6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6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6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6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6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6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6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6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6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6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6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6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6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6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6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6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6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6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6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6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6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6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6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6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6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6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6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6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6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6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6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6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6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6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6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6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6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6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6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6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6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6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6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6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6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6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6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6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6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6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6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6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6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6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6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6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6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6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6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6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6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6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6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6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6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6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6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6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6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6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6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6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6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6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6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6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6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6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6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6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6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6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6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6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6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6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6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6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6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6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6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6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6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6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6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6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6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6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6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6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6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6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6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6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6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6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6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6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6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6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6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6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6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6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6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6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6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6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6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6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6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6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6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6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6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6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6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6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6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6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6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6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6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6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6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6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6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6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6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6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6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6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6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6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6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6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6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6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6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6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6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6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6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69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69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69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69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69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69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69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69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69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69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69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69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69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69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6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5.38"/>
  </cols>
  <sheetData>
    <row r="1">
      <c r="A1" s="1" t="s">
        <v>510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15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/>
      <c r="B5" s="33"/>
      <c r="C5" s="43" t="s">
        <v>9</v>
      </c>
      <c r="D5" s="56">
        <v>1678273.0</v>
      </c>
      <c r="E5" s="84"/>
      <c r="F5" s="34">
        <f t="shared" ref="F5:F82" si="1">F4+D5-E5</f>
        <v>1678273</v>
      </c>
      <c r="G5" s="28"/>
      <c r="H5" s="29"/>
      <c r="I5" s="78">
        <v>7060.0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10">
        <v>45992.0</v>
      </c>
      <c r="B6" s="43" t="s">
        <v>223</v>
      </c>
      <c r="C6" s="43" t="s">
        <v>511</v>
      </c>
      <c r="D6" s="111"/>
      <c r="E6" s="111">
        <v>124000.0</v>
      </c>
      <c r="F6" s="34">
        <f t="shared" si="1"/>
        <v>1554273</v>
      </c>
      <c r="G6" s="28"/>
      <c r="H6" s="50"/>
      <c r="I6" s="36">
        <f t="shared" ref="I6:I82" si="2">I5+G6-H6</f>
        <v>7060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10">
        <v>45994.0</v>
      </c>
      <c r="B7" s="43" t="s">
        <v>223</v>
      </c>
      <c r="C7" s="43" t="s">
        <v>450</v>
      </c>
      <c r="D7" s="52">
        <v>3020500.0</v>
      </c>
      <c r="E7" s="111"/>
      <c r="F7" s="34">
        <f t="shared" si="1"/>
        <v>4574773</v>
      </c>
      <c r="G7" s="50"/>
      <c r="H7" s="50"/>
      <c r="I7" s="36">
        <f t="shared" si="2"/>
        <v>7060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10">
        <v>45994.0</v>
      </c>
      <c r="B8" s="43" t="s">
        <v>63</v>
      </c>
      <c r="C8" s="48" t="s">
        <v>512</v>
      </c>
      <c r="D8" s="89"/>
      <c r="E8" s="111">
        <v>854610.0</v>
      </c>
      <c r="F8" s="34">
        <f t="shared" si="1"/>
        <v>3720163</v>
      </c>
      <c r="G8" s="50"/>
      <c r="H8" s="28"/>
      <c r="I8" s="36">
        <f t="shared" si="2"/>
        <v>7060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0">
        <v>45994.0</v>
      </c>
      <c r="B9" s="43" t="s">
        <v>63</v>
      </c>
      <c r="C9" s="48" t="s">
        <v>513</v>
      </c>
      <c r="D9" s="111"/>
      <c r="E9" s="111">
        <v>854610.0</v>
      </c>
      <c r="F9" s="34">
        <f t="shared" si="1"/>
        <v>2865553</v>
      </c>
      <c r="G9" s="29"/>
      <c r="H9" s="50"/>
      <c r="I9" s="36">
        <f t="shared" si="2"/>
        <v>7060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0">
        <v>45994.0</v>
      </c>
      <c r="B10" s="43" t="s">
        <v>63</v>
      </c>
      <c r="C10" s="48" t="s">
        <v>514</v>
      </c>
      <c r="D10" s="44"/>
      <c r="E10" s="111">
        <v>1148071.0</v>
      </c>
      <c r="F10" s="34">
        <f t="shared" si="1"/>
        <v>1717482</v>
      </c>
      <c r="G10" s="50"/>
      <c r="H10" s="50"/>
      <c r="I10" s="36">
        <f t="shared" si="2"/>
        <v>7060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0">
        <v>45994.0</v>
      </c>
      <c r="B11" s="43" t="s">
        <v>223</v>
      </c>
      <c r="C11" s="43" t="s">
        <v>515</v>
      </c>
      <c r="D11" s="52"/>
      <c r="E11" s="111"/>
      <c r="F11" s="34">
        <f t="shared" si="1"/>
        <v>1717482</v>
      </c>
      <c r="G11" s="50">
        <v>15000.0</v>
      </c>
      <c r="H11" s="50"/>
      <c r="I11" s="36">
        <f t="shared" si="2"/>
        <v>22060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10">
        <v>45994.0</v>
      </c>
      <c r="B12" s="43" t="s">
        <v>63</v>
      </c>
      <c r="C12" s="137" t="s">
        <v>409</v>
      </c>
      <c r="D12" s="107"/>
      <c r="E12" s="107"/>
      <c r="F12" s="34">
        <f t="shared" si="1"/>
        <v>1717482</v>
      </c>
      <c r="G12" s="50"/>
      <c r="H12" s="50">
        <v>5250.0</v>
      </c>
      <c r="I12" s="36">
        <f t="shared" si="2"/>
        <v>16810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10">
        <v>45994.0</v>
      </c>
      <c r="B13" s="43" t="s">
        <v>63</v>
      </c>
      <c r="C13" s="48" t="s">
        <v>411</v>
      </c>
      <c r="D13" s="52"/>
      <c r="E13" s="111"/>
      <c r="F13" s="34">
        <f t="shared" si="1"/>
        <v>1717482</v>
      </c>
      <c r="G13" s="50"/>
      <c r="H13" s="28">
        <v>4500.0</v>
      </c>
      <c r="I13" s="36">
        <f t="shared" si="2"/>
        <v>12310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10">
        <v>45994.0</v>
      </c>
      <c r="B14" s="43" t="s">
        <v>63</v>
      </c>
      <c r="C14" s="48" t="s">
        <v>355</v>
      </c>
      <c r="D14" s="52"/>
      <c r="E14" s="111"/>
      <c r="F14" s="34">
        <f t="shared" si="1"/>
        <v>1717482</v>
      </c>
      <c r="G14" s="38"/>
      <c r="H14" s="50">
        <v>5250.0</v>
      </c>
      <c r="I14" s="36">
        <f t="shared" si="2"/>
        <v>7060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10">
        <v>45994.0</v>
      </c>
      <c r="B15" s="43" t="s">
        <v>63</v>
      </c>
      <c r="C15" s="48" t="s">
        <v>436</v>
      </c>
      <c r="D15" s="52"/>
      <c r="E15" s="111">
        <v>10000.0</v>
      </c>
      <c r="F15" s="34">
        <f t="shared" si="1"/>
        <v>1707482</v>
      </c>
      <c r="G15" s="28"/>
      <c r="H15" s="28"/>
      <c r="I15" s="36">
        <f t="shared" si="2"/>
        <v>7060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10">
        <v>45994.0</v>
      </c>
      <c r="B16" s="43" t="s">
        <v>223</v>
      </c>
      <c r="C16" s="43" t="s">
        <v>516</v>
      </c>
      <c r="D16" s="52"/>
      <c r="E16" s="111">
        <v>6000.0</v>
      </c>
      <c r="F16" s="34">
        <f t="shared" si="1"/>
        <v>1701482</v>
      </c>
      <c r="G16" s="50"/>
      <c r="H16" s="50"/>
      <c r="I16" s="36">
        <f t="shared" si="2"/>
        <v>7060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10">
        <v>45994.0</v>
      </c>
      <c r="B17" s="43" t="s">
        <v>63</v>
      </c>
      <c r="C17" s="48" t="s">
        <v>517</v>
      </c>
      <c r="D17" s="111"/>
      <c r="E17" s="111">
        <v>447000.0</v>
      </c>
      <c r="F17" s="34">
        <f t="shared" si="1"/>
        <v>1254482</v>
      </c>
      <c r="G17" s="50"/>
      <c r="H17" s="50"/>
      <c r="I17" s="36">
        <f t="shared" si="2"/>
        <v>7060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10">
        <v>45994.0</v>
      </c>
      <c r="B18" s="43" t="s">
        <v>63</v>
      </c>
      <c r="C18" s="48" t="s">
        <v>518</v>
      </c>
      <c r="D18" s="52"/>
      <c r="E18" s="111">
        <v>567000.0</v>
      </c>
      <c r="F18" s="34">
        <f t="shared" si="1"/>
        <v>687482</v>
      </c>
      <c r="G18" s="54"/>
      <c r="H18" s="50"/>
      <c r="I18" s="36">
        <f t="shared" si="2"/>
        <v>7060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10">
        <v>45994.0</v>
      </c>
      <c r="B19" s="43" t="s">
        <v>223</v>
      </c>
      <c r="C19" s="43" t="s">
        <v>519</v>
      </c>
      <c r="D19" s="111"/>
      <c r="E19" s="111"/>
      <c r="F19" s="34">
        <f t="shared" si="1"/>
        <v>687482</v>
      </c>
      <c r="G19" s="50">
        <v>300.0</v>
      </c>
      <c r="H19" s="50"/>
      <c r="I19" s="36">
        <f t="shared" si="2"/>
        <v>7360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10">
        <v>45996.0</v>
      </c>
      <c r="B20" s="43" t="s">
        <v>63</v>
      </c>
      <c r="C20" s="48" t="s">
        <v>520</v>
      </c>
      <c r="D20" s="52"/>
      <c r="E20" s="111">
        <v>377305.0</v>
      </c>
      <c r="F20" s="34">
        <f t="shared" si="1"/>
        <v>310177</v>
      </c>
      <c r="G20" s="50"/>
      <c r="H20" s="54"/>
      <c r="I20" s="36">
        <f t="shared" si="2"/>
        <v>7360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10">
        <v>45996.0</v>
      </c>
      <c r="B21" s="43" t="s">
        <v>63</v>
      </c>
      <c r="C21" s="48" t="s">
        <v>521</v>
      </c>
      <c r="D21" s="44"/>
      <c r="E21" s="111">
        <v>524035.0</v>
      </c>
      <c r="F21" s="34">
        <f t="shared" si="1"/>
        <v>-213858</v>
      </c>
      <c r="G21" s="54"/>
      <c r="H21" s="54"/>
      <c r="I21" s="36">
        <f t="shared" si="2"/>
        <v>7360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10">
        <v>45996.0</v>
      </c>
      <c r="B22" s="43" t="s">
        <v>83</v>
      </c>
      <c r="C22" s="43" t="s">
        <v>522</v>
      </c>
      <c r="D22" s="52">
        <v>477750.0</v>
      </c>
      <c r="E22" s="118"/>
      <c r="F22" s="34">
        <f t="shared" si="1"/>
        <v>263892</v>
      </c>
      <c r="G22" s="29"/>
      <c r="H22" s="50">
        <v>1120.0</v>
      </c>
      <c r="I22" s="36">
        <f t="shared" si="2"/>
        <v>6240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10">
        <v>45996.0</v>
      </c>
      <c r="B23" s="43" t="s">
        <v>83</v>
      </c>
      <c r="C23" s="43" t="s">
        <v>523</v>
      </c>
      <c r="D23" s="52"/>
      <c r="E23" s="111"/>
      <c r="F23" s="34">
        <f t="shared" si="1"/>
        <v>263892</v>
      </c>
      <c r="G23" s="50">
        <v>750.0</v>
      </c>
      <c r="H23" s="28"/>
      <c r="I23" s="36">
        <f t="shared" si="2"/>
        <v>6990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10">
        <v>45996.0</v>
      </c>
      <c r="B24" s="43" t="s">
        <v>223</v>
      </c>
      <c r="C24" s="43" t="s">
        <v>524</v>
      </c>
      <c r="D24" s="52"/>
      <c r="E24" s="52">
        <v>800000.0</v>
      </c>
      <c r="F24" s="34">
        <f t="shared" si="1"/>
        <v>-536108</v>
      </c>
      <c r="G24" s="29"/>
      <c r="H24" s="50"/>
      <c r="I24" s="36">
        <f t="shared" si="2"/>
        <v>6990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91">
        <v>46000.0</v>
      </c>
      <c r="B25" s="43" t="s">
        <v>83</v>
      </c>
      <c r="C25" s="43" t="s">
        <v>525</v>
      </c>
      <c r="D25" s="52">
        <v>710000.0</v>
      </c>
      <c r="E25" s="111"/>
      <c r="F25" s="34">
        <f t="shared" si="1"/>
        <v>173892</v>
      </c>
      <c r="G25" s="50"/>
      <c r="H25" s="50"/>
      <c r="I25" s="36">
        <f t="shared" si="2"/>
        <v>6990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1">
        <v>46000.0</v>
      </c>
      <c r="B26" s="43" t="s">
        <v>223</v>
      </c>
      <c r="C26" s="43" t="s">
        <v>384</v>
      </c>
      <c r="D26" s="111">
        <v>2145000.0</v>
      </c>
      <c r="E26" s="111"/>
      <c r="F26" s="34">
        <f t="shared" si="1"/>
        <v>2318892</v>
      </c>
      <c r="G26" s="50"/>
      <c r="H26" s="28">
        <v>1500.0</v>
      </c>
      <c r="I26" s="36">
        <f t="shared" si="2"/>
        <v>5490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1">
        <v>46000.0</v>
      </c>
      <c r="B27" s="43" t="s">
        <v>83</v>
      </c>
      <c r="C27" s="43" t="s">
        <v>526</v>
      </c>
      <c r="D27" s="111">
        <v>580000.0</v>
      </c>
      <c r="E27" s="111"/>
      <c r="F27" s="34">
        <f t="shared" si="1"/>
        <v>2898892</v>
      </c>
      <c r="G27" s="50"/>
      <c r="H27" s="50"/>
      <c r="I27" s="36">
        <f t="shared" si="2"/>
        <v>5490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1">
        <v>45940.0</v>
      </c>
      <c r="B28" s="43" t="s">
        <v>63</v>
      </c>
      <c r="C28" s="48" t="s">
        <v>377</v>
      </c>
      <c r="D28" s="44"/>
      <c r="E28" s="111">
        <v>240000.0</v>
      </c>
      <c r="F28" s="34">
        <f t="shared" si="1"/>
        <v>2658892</v>
      </c>
      <c r="G28" s="50"/>
      <c r="H28" s="50"/>
      <c r="I28" s="36">
        <f t="shared" si="2"/>
        <v>5490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1">
        <v>46001.0</v>
      </c>
      <c r="B29" s="43" t="s">
        <v>63</v>
      </c>
      <c r="C29" s="48" t="s">
        <v>376</v>
      </c>
      <c r="D29" s="111"/>
      <c r="E29" s="111">
        <v>350000.0</v>
      </c>
      <c r="F29" s="34">
        <f t="shared" si="1"/>
        <v>2308892</v>
      </c>
      <c r="G29" s="50"/>
      <c r="H29" s="50"/>
      <c r="I29" s="36">
        <f t="shared" si="2"/>
        <v>5490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1">
        <v>46001.0</v>
      </c>
      <c r="B30" s="43" t="s">
        <v>223</v>
      </c>
      <c r="C30" s="43" t="s">
        <v>527</v>
      </c>
      <c r="D30" s="111"/>
      <c r="E30" s="111">
        <v>1098500.0</v>
      </c>
      <c r="F30" s="34">
        <f t="shared" si="1"/>
        <v>1210392</v>
      </c>
      <c r="G30" s="50"/>
      <c r="H30" s="50"/>
      <c r="I30" s="36">
        <f t="shared" si="2"/>
        <v>5490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1">
        <v>46001.0</v>
      </c>
      <c r="B31" s="43" t="s">
        <v>223</v>
      </c>
      <c r="C31" s="43" t="s">
        <v>432</v>
      </c>
      <c r="D31" s="111"/>
      <c r="E31" s="111">
        <v>1137500.0</v>
      </c>
      <c r="F31" s="34">
        <f t="shared" si="1"/>
        <v>72892</v>
      </c>
      <c r="G31" s="50"/>
      <c r="H31" s="28"/>
      <c r="I31" s="36">
        <f t="shared" si="2"/>
        <v>5490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1">
        <v>46001.0</v>
      </c>
      <c r="B32" s="43" t="s">
        <v>83</v>
      </c>
      <c r="C32" s="43" t="s">
        <v>528</v>
      </c>
      <c r="D32" s="52"/>
      <c r="E32" s="111"/>
      <c r="F32" s="34">
        <f t="shared" si="1"/>
        <v>72892</v>
      </c>
      <c r="G32" s="50">
        <v>126.0</v>
      </c>
      <c r="H32" s="50"/>
      <c r="I32" s="36">
        <f t="shared" si="2"/>
        <v>5616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1">
        <v>46001.0</v>
      </c>
      <c r="B33" s="43" t="s">
        <v>83</v>
      </c>
      <c r="C33" s="43" t="s">
        <v>529</v>
      </c>
      <c r="D33" s="89"/>
      <c r="E33" s="111"/>
      <c r="F33" s="34">
        <f t="shared" si="1"/>
        <v>72892</v>
      </c>
      <c r="G33" s="50">
        <v>260.0</v>
      </c>
      <c r="H33" s="28"/>
      <c r="I33" s="36">
        <f t="shared" si="2"/>
        <v>5876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1">
        <v>46001.0</v>
      </c>
      <c r="B34" s="43" t="s">
        <v>83</v>
      </c>
      <c r="C34" s="43" t="s">
        <v>530</v>
      </c>
      <c r="D34" s="111">
        <v>525600.0</v>
      </c>
      <c r="E34" s="111"/>
      <c r="F34" s="34">
        <f t="shared" si="1"/>
        <v>598492</v>
      </c>
      <c r="G34" s="50"/>
      <c r="H34" s="50"/>
      <c r="I34" s="36">
        <f t="shared" si="2"/>
        <v>5876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46001.0</v>
      </c>
      <c r="B35" s="43" t="s">
        <v>223</v>
      </c>
      <c r="C35" s="43" t="s">
        <v>531</v>
      </c>
      <c r="D35" s="44"/>
      <c r="E35" s="111">
        <v>130500.0</v>
      </c>
      <c r="F35" s="92">
        <f t="shared" si="1"/>
        <v>467992</v>
      </c>
      <c r="G35" s="54"/>
      <c r="H35" s="54"/>
      <c r="I35" s="93">
        <f t="shared" si="2"/>
        <v>5876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46001.0</v>
      </c>
      <c r="B36" s="43" t="s">
        <v>223</v>
      </c>
      <c r="C36" s="43" t="s">
        <v>532</v>
      </c>
      <c r="D36" s="52"/>
      <c r="E36" s="111">
        <v>25324.0</v>
      </c>
      <c r="F36" s="34">
        <f t="shared" si="1"/>
        <v>442668</v>
      </c>
      <c r="G36" s="50"/>
      <c r="H36" s="50"/>
      <c r="I36" s="36">
        <f t="shared" si="2"/>
        <v>5876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46001.0</v>
      </c>
      <c r="B37" s="43" t="s">
        <v>83</v>
      </c>
      <c r="C37" s="43" t="s">
        <v>533</v>
      </c>
      <c r="D37" s="52"/>
      <c r="E37" s="111"/>
      <c r="F37" s="34">
        <f t="shared" si="1"/>
        <v>442668</v>
      </c>
      <c r="G37" s="28">
        <v>250.0</v>
      </c>
      <c r="H37" s="50"/>
      <c r="I37" s="36">
        <f t="shared" si="2"/>
        <v>6126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38">
        <v>46002.0</v>
      </c>
      <c r="B38" s="43" t="s">
        <v>63</v>
      </c>
      <c r="C38" s="48" t="s">
        <v>227</v>
      </c>
      <c r="D38" s="52"/>
      <c r="E38" s="111">
        <v>30000.0</v>
      </c>
      <c r="F38" s="34">
        <f t="shared" si="1"/>
        <v>412668</v>
      </c>
      <c r="G38" s="50"/>
      <c r="H38" s="28"/>
      <c r="I38" s="36">
        <f t="shared" si="2"/>
        <v>6126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38">
        <v>46002.0</v>
      </c>
      <c r="B39" s="43" t="s">
        <v>223</v>
      </c>
      <c r="C39" s="43" t="s">
        <v>534</v>
      </c>
      <c r="D39" s="52">
        <v>1137000.0</v>
      </c>
      <c r="E39" s="111"/>
      <c r="F39" s="34">
        <f t="shared" si="1"/>
        <v>1549668</v>
      </c>
      <c r="G39" s="50"/>
      <c r="H39" s="50">
        <v>800.0</v>
      </c>
      <c r="I39" s="36">
        <f t="shared" si="2"/>
        <v>5326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38">
        <v>46002.0</v>
      </c>
      <c r="B40" s="126" t="s">
        <v>63</v>
      </c>
      <c r="C40" s="48" t="s">
        <v>535</v>
      </c>
      <c r="D40" s="89"/>
      <c r="E40" s="111">
        <v>570000.0</v>
      </c>
      <c r="F40" s="92">
        <f t="shared" si="1"/>
        <v>979668</v>
      </c>
      <c r="G40" s="54"/>
      <c r="H40" s="97"/>
      <c r="I40" s="98">
        <f t="shared" si="2"/>
        <v>5326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138">
        <v>46002.0</v>
      </c>
      <c r="B41" s="43" t="s">
        <v>223</v>
      </c>
      <c r="C41" s="103" t="s">
        <v>524</v>
      </c>
      <c r="D41" s="102"/>
      <c r="E41" s="111">
        <v>600000.0</v>
      </c>
      <c r="F41" s="34">
        <f t="shared" si="1"/>
        <v>379668</v>
      </c>
      <c r="G41" s="28"/>
      <c r="H41" s="28"/>
      <c r="I41" s="36">
        <f t="shared" si="2"/>
        <v>5326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38">
        <v>46002.0</v>
      </c>
      <c r="B42" s="43" t="s">
        <v>63</v>
      </c>
      <c r="C42" s="48" t="s">
        <v>536</v>
      </c>
      <c r="D42" s="52"/>
      <c r="E42" s="111">
        <v>210000.0</v>
      </c>
      <c r="F42" s="34">
        <f t="shared" si="1"/>
        <v>169668</v>
      </c>
      <c r="G42" s="50"/>
      <c r="H42" s="50"/>
      <c r="I42" s="36">
        <f t="shared" si="2"/>
        <v>5326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1">
        <v>46003.0</v>
      </c>
      <c r="B43" s="43" t="s">
        <v>83</v>
      </c>
      <c r="C43" s="43" t="s">
        <v>537</v>
      </c>
      <c r="D43" s="52">
        <v>280000.0</v>
      </c>
      <c r="E43" s="111"/>
      <c r="F43" s="34">
        <f t="shared" si="1"/>
        <v>449668</v>
      </c>
      <c r="G43" s="50"/>
      <c r="H43" s="50"/>
      <c r="I43" s="36">
        <f t="shared" si="2"/>
        <v>5326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1">
        <v>46003.0</v>
      </c>
      <c r="B44" s="43" t="s">
        <v>83</v>
      </c>
      <c r="C44" s="43" t="s">
        <v>538</v>
      </c>
      <c r="D44" s="52">
        <v>408800.0</v>
      </c>
      <c r="E44" s="117"/>
      <c r="F44" s="34">
        <f t="shared" si="1"/>
        <v>858468</v>
      </c>
      <c r="G44" s="50"/>
      <c r="H44" s="50"/>
      <c r="I44" s="36">
        <f t="shared" si="2"/>
        <v>5326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1">
        <v>46006.0</v>
      </c>
      <c r="B45" s="43" t="s">
        <v>63</v>
      </c>
      <c r="C45" s="48" t="s">
        <v>539</v>
      </c>
      <c r="D45" s="111"/>
      <c r="E45" s="111">
        <v>155000.0</v>
      </c>
      <c r="F45" s="34">
        <f t="shared" si="1"/>
        <v>703468</v>
      </c>
      <c r="G45" s="29"/>
      <c r="H45" s="50"/>
      <c r="I45" s="36">
        <f t="shared" si="2"/>
        <v>5326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1">
        <v>46006.0</v>
      </c>
      <c r="B46" s="43" t="s">
        <v>83</v>
      </c>
      <c r="C46" s="43" t="s">
        <v>540</v>
      </c>
      <c r="D46" s="52">
        <v>401100.0</v>
      </c>
      <c r="E46" s="111"/>
      <c r="F46" s="34">
        <f t="shared" si="1"/>
        <v>1104568</v>
      </c>
      <c r="G46" s="29"/>
      <c r="H46" s="50"/>
      <c r="I46" s="36">
        <f t="shared" si="2"/>
        <v>5326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1">
        <v>46007.0</v>
      </c>
      <c r="B47" s="43" t="s">
        <v>88</v>
      </c>
      <c r="C47" s="43" t="s">
        <v>541</v>
      </c>
      <c r="D47" s="44"/>
      <c r="E47" s="111">
        <v>23850.0</v>
      </c>
      <c r="F47" s="34">
        <f t="shared" si="1"/>
        <v>1080718</v>
      </c>
      <c r="G47" s="50"/>
      <c r="H47" s="50">
        <v>1390.0</v>
      </c>
      <c r="I47" s="36">
        <f t="shared" si="2"/>
        <v>3936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1">
        <v>46007.0</v>
      </c>
      <c r="B48" s="43" t="s">
        <v>63</v>
      </c>
      <c r="C48" s="48" t="s">
        <v>542</v>
      </c>
      <c r="D48" s="52">
        <v>1455000.0</v>
      </c>
      <c r="E48" s="111"/>
      <c r="F48" s="34">
        <f t="shared" si="1"/>
        <v>2535718</v>
      </c>
      <c r="G48" s="29"/>
      <c r="H48" s="50">
        <v>1000.0</v>
      </c>
      <c r="I48" s="36">
        <f t="shared" si="2"/>
        <v>2936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1">
        <v>46007.0</v>
      </c>
      <c r="B49" s="43" t="s">
        <v>63</v>
      </c>
      <c r="C49" s="48" t="s">
        <v>543</v>
      </c>
      <c r="D49" s="52"/>
      <c r="E49" s="111">
        <v>419800.0</v>
      </c>
      <c r="F49" s="34">
        <f t="shared" si="1"/>
        <v>2115918</v>
      </c>
      <c r="G49" s="29"/>
      <c r="H49" s="50"/>
      <c r="I49" s="36">
        <f t="shared" si="2"/>
        <v>2936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6">
        <v>46008.0</v>
      </c>
      <c r="B50" s="43" t="s">
        <v>63</v>
      </c>
      <c r="C50" s="48" t="s">
        <v>544</v>
      </c>
      <c r="D50" s="52"/>
      <c r="E50" s="111">
        <v>30000.0</v>
      </c>
      <c r="F50" s="34">
        <f t="shared" si="1"/>
        <v>2085918</v>
      </c>
      <c r="G50" s="50"/>
      <c r="H50" s="50"/>
      <c r="I50" s="36">
        <f t="shared" si="2"/>
        <v>2936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6">
        <v>46008.0</v>
      </c>
      <c r="B51" s="43" t="s">
        <v>63</v>
      </c>
      <c r="C51" s="48" t="s">
        <v>501</v>
      </c>
      <c r="D51" s="44"/>
      <c r="E51" s="111">
        <v>70000.0</v>
      </c>
      <c r="F51" s="34">
        <f t="shared" si="1"/>
        <v>2015918</v>
      </c>
      <c r="G51" s="50"/>
      <c r="H51" s="50"/>
      <c r="I51" s="36">
        <f t="shared" si="2"/>
        <v>2936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6">
        <v>46008.0</v>
      </c>
      <c r="B52" s="43" t="s">
        <v>63</v>
      </c>
      <c r="C52" s="48" t="s">
        <v>545</v>
      </c>
      <c r="D52" s="52"/>
      <c r="E52" s="111">
        <v>11000.0</v>
      </c>
      <c r="F52" s="34">
        <f t="shared" si="1"/>
        <v>2004918</v>
      </c>
      <c r="G52" s="50"/>
      <c r="H52" s="29"/>
      <c r="I52" s="36">
        <f t="shared" si="2"/>
        <v>2936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6">
        <v>46008.0</v>
      </c>
      <c r="B53" s="43" t="s">
        <v>83</v>
      </c>
      <c r="C53" s="43" t="s">
        <v>546</v>
      </c>
      <c r="D53" s="52">
        <v>530000.0</v>
      </c>
      <c r="E53" s="111"/>
      <c r="F53" s="34">
        <f t="shared" si="1"/>
        <v>2534918</v>
      </c>
      <c r="G53" s="50"/>
      <c r="H53" s="50"/>
      <c r="I53" s="36">
        <f t="shared" si="2"/>
        <v>2936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6">
        <v>46008.0</v>
      </c>
      <c r="B54" s="43" t="s">
        <v>223</v>
      </c>
      <c r="C54" s="43" t="s">
        <v>547</v>
      </c>
      <c r="D54" s="52">
        <v>1598000.0</v>
      </c>
      <c r="E54" s="111"/>
      <c r="F54" s="34">
        <f t="shared" si="1"/>
        <v>4132918</v>
      </c>
      <c r="G54" s="50"/>
      <c r="H54" s="50">
        <v>1300.0</v>
      </c>
      <c r="I54" s="36">
        <f t="shared" si="2"/>
        <v>1636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6">
        <v>46008.0</v>
      </c>
      <c r="B55" s="43" t="s">
        <v>223</v>
      </c>
      <c r="C55" s="43" t="s">
        <v>548</v>
      </c>
      <c r="D55" s="52"/>
      <c r="E55" s="111">
        <v>2000000.0</v>
      </c>
      <c r="F55" s="34">
        <f t="shared" si="1"/>
        <v>2132918</v>
      </c>
      <c r="G55" s="29"/>
      <c r="H55" s="50"/>
      <c r="I55" s="36">
        <f t="shared" si="2"/>
        <v>1636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6">
        <v>46008.0</v>
      </c>
      <c r="B56" s="43" t="s">
        <v>223</v>
      </c>
      <c r="C56" s="43" t="s">
        <v>549</v>
      </c>
      <c r="D56" s="44"/>
      <c r="E56" s="111"/>
      <c r="F56" s="34">
        <f t="shared" si="1"/>
        <v>2132918</v>
      </c>
      <c r="G56" s="50">
        <v>3500.0</v>
      </c>
      <c r="H56" s="29"/>
      <c r="I56" s="36">
        <f t="shared" si="2"/>
        <v>5136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6">
        <v>46009.0</v>
      </c>
      <c r="B57" s="43" t="s">
        <v>223</v>
      </c>
      <c r="C57" s="43" t="s">
        <v>550</v>
      </c>
      <c r="D57" s="52">
        <v>1022000.0</v>
      </c>
      <c r="E57" s="111"/>
      <c r="F57" s="34">
        <f t="shared" si="1"/>
        <v>3154918</v>
      </c>
      <c r="G57" s="50"/>
      <c r="H57" s="35">
        <v>900.0</v>
      </c>
      <c r="I57" s="36">
        <f t="shared" si="2"/>
        <v>4236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6">
        <v>46009.0</v>
      </c>
      <c r="B58" s="43" t="s">
        <v>63</v>
      </c>
      <c r="C58" s="48" t="s">
        <v>551</v>
      </c>
      <c r="D58" s="52"/>
      <c r="E58" s="111">
        <v>250000.0</v>
      </c>
      <c r="F58" s="34">
        <f t="shared" si="1"/>
        <v>2904918</v>
      </c>
      <c r="G58" s="50"/>
      <c r="H58" s="50"/>
      <c r="I58" s="36">
        <f t="shared" si="2"/>
        <v>4236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6">
        <v>46010.0</v>
      </c>
      <c r="B59" s="43" t="s">
        <v>223</v>
      </c>
      <c r="C59" s="43" t="s">
        <v>524</v>
      </c>
      <c r="D59" s="52"/>
      <c r="E59" s="111">
        <v>1000000.0</v>
      </c>
      <c r="F59" s="34">
        <f t="shared" si="1"/>
        <v>1904918</v>
      </c>
      <c r="G59" s="50"/>
      <c r="H59" s="50"/>
      <c r="I59" s="36">
        <f t="shared" si="2"/>
        <v>4236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6">
        <v>46010.0</v>
      </c>
      <c r="B60" s="43" t="s">
        <v>223</v>
      </c>
      <c r="C60" s="43" t="s">
        <v>552</v>
      </c>
      <c r="D60" s="44"/>
      <c r="E60" s="111">
        <v>250000.0</v>
      </c>
      <c r="F60" s="34">
        <f t="shared" si="1"/>
        <v>1654918</v>
      </c>
      <c r="G60" s="50"/>
      <c r="H60" s="50"/>
      <c r="I60" s="36">
        <f t="shared" si="2"/>
        <v>4236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6">
        <v>46010.0</v>
      </c>
      <c r="B61" s="43" t="s">
        <v>63</v>
      </c>
      <c r="C61" s="48" t="s">
        <v>553</v>
      </c>
      <c r="D61" s="44"/>
      <c r="E61" s="111">
        <v>60000.0</v>
      </c>
      <c r="F61" s="34">
        <f t="shared" si="1"/>
        <v>1594918</v>
      </c>
      <c r="G61" s="50"/>
      <c r="H61" s="50"/>
      <c r="I61" s="36">
        <f t="shared" si="2"/>
        <v>4236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6">
        <v>46010.0</v>
      </c>
      <c r="B62" s="43" t="s">
        <v>63</v>
      </c>
      <c r="C62" s="48" t="s">
        <v>229</v>
      </c>
      <c r="D62" s="44"/>
      <c r="E62" s="111">
        <v>55800.0</v>
      </c>
      <c r="F62" s="34">
        <f t="shared" si="1"/>
        <v>1539118</v>
      </c>
      <c r="G62" s="29"/>
      <c r="H62" s="50"/>
      <c r="I62" s="36">
        <f t="shared" si="2"/>
        <v>4236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6">
        <v>46010.0</v>
      </c>
      <c r="B63" s="43" t="s">
        <v>223</v>
      </c>
      <c r="C63" s="43" t="s">
        <v>554</v>
      </c>
      <c r="D63" s="52">
        <v>1029000.0</v>
      </c>
      <c r="E63" s="111">
        <v>1000000.0</v>
      </c>
      <c r="F63" s="34">
        <f t="shared" si="1"/>
        <v>1568118</v>
      </c>
      <c r="G63" s="50"/>
      <c r="H63" s="50">
        <v>800.0</v>
      </c>
      <c r="I63" s="36">
        <f t="shared" si="2"/>
        <v>3436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6"/>
      <c r="B64" s="43"/>
      <c r="C64" s="43" t="s">
        <v>499</v>
      </c>
      <c r="D64" s="44"/>
      <c r="E64" s="118">
        <v>240000.0</v>
      </c>
      <c r="F64" s="34">
        <f t="shared" si="1"/>
        <v>1328118</v>
      </c>
      <c r="G64" s="28"/>
      <c r="H64" s="50"/>
      <c r="I64" s="36">
        <f t="shared" si="2"/>
        <v>3436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6"/>
      <c r="B65" s="43"/>
      <c r="C65" s="43" t="s">
        <v>499</v>
      </c>
      <c r="D65" s="44"/>
      <c r="E65" s="118">
        <v>244195.0</v>
      </c>
      <c r="F65" s="34">
        <f t="shared" si="1"/>
        <v>1083923</v>
      </c>
      <c r="G65" s="28"/>
      <c r="H65" s="50"/>
      <c r="I65" s="36">
        <f t="shared" si="2"/>
        <v>3436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6"/>
      <c r="B66" s="43"/>
      <c r="C66" s="43"/>
      <c r="D66" s="52"/>
      <c r="E66" s="113"/>
      <c r="F66" s="34">
        <f t="shared" si="1"/>
        <v>1083923</v>
      </c>
      <c r="G66" s="38"/>
      <c r="H66" s="50"/>
      <c r="I66" s="36">
        <f t="shared" si="2"/>
        <v>3436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6"/>
      <c r="B67" s="43"/>
      <c r="C67" s="43"/>
      <c r="D67" s="44"/>
      <c r="E67" s="111"/>
      <c r="F67" s="34">
        <f t="shared" si="1"/>
        <v>1083923</v>
      </c>
      <c r="G67" s="38"/>
      <c r="H67" s="50"/>
      <c r="I67" s="36">
        <f t="shared" si="2"/>
        <v>3436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6"/>
      <c r="B68" s="43"/>
      <c r="C68" s="43"/>
      <c r="D68" s="52"/>
      <c r="E68" s="111"/>
      <c r="F68" s="34">
        <f t="shared" si="1"/>
        <v>1083923</v>
      </c>
      <c r="G68" s="38"/>
      <c r="H68" s="29"/>
      <c r="I68" s="36">
        <f t="shared" si="2"/>
        <v>3436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6"/>
      <c r="B69" s="43"/>
      <c r="C69" s="43"/>
      <c r="D69" s="44"/>
      <c r="E69" s="111"/>
      <c r="F69" s="34">
        <f t="shared" si="1"/>
        <v>1083923</v>
      </c>
      <c r="G69" s="29"/>
      <c r="H69" s="29"/>
      <c r="I69" s="36">
        <f t="shared" si="2"/>
        <v>3436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6"/>
      <c r="B70" s="43"/>
      <c r="C70" s="43"/>
      <c r="D70" s="44"/>
      <c r="E70" s="111"/>
      <c r="F70" s="34">
        <f t="shared" si="1"/>
        <v>1083923</v>
      </c>
      <c r="G70" s="29"/>
      <c r="H70" s="29"/>
      <c r="I70" s="36">
        <f t="shared" si="2"/>
        <v>3436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6"/>
      <c r="B71" s="43"/>
      <c r="C71" s="43"/>
      <c r="D71" s="44"/>
      <c r="E71" s="113"/>
      <c r="F71" s="34">
        <f t="shared" si="1"/>
        <v>1083923</v>
      </c>
      <c r="G71" s="29"/>
      <c r="H71" s="50"/>
      <c r="I71" s="36">
        <f t="shared" si="2"/>
        <v>3436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6"/>
      <c r="B72" s="43"/>
      <c r="C72" s="43"/>
      <c r="D72" s="52"/>
      <c r="E72" s="111"/>
      <c r="F72" s="34">
        <f t="shared" si="1"/>
        <v>1083923</v>
      </c>
      <c r="G72" s="29"/>
      <c r="H72" s="50"/>
      <c r="I72" s="36">
        <f t="shared" si="2"/>
        <v>3436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5"/>
      <c r="B73" s="33"/>
      <c r="C73" s="43"/>
      <c r="D73" s="26"/>
      <c r="E73" s="87"/>
      <c r="F73" s="34">
        <f t="shared" si="1"/>
        <v>1083923</v>
      </c>
      <c r="G73" s="29"/>
      <c r="H73" s="50"/>
      <c r="I73" s="36">
        <f t="shared" si="2"/>
        <v>3436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5"/>
      <c r="B74" s="33"/>
      <c r="C74" s="43"/>
      <c r="D74" s="26"/>
      <c r="E74" s="84"/>
      <c r="F74" s="34">
        <f t="shared" si="1"/>
        <v>1083923</v>
      </c>
      <c r="G74" s="29"/>
      <c r="H74" s="50"/>
      <c r="I74" s="36">
        <f t="shared" si="2"/>
        <v>3436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/>
      <c r="B75" s="33"/>
      <c r="C75" s="43"/>
      <c r="D75" s="26"/>
      <c r="E75" s="87"/>
      <c r="F75" s="34">
        <f t="shared" si="1"/>
        <v>1083923</v>
      </c>
      <c r="G75" s="29"/>
      <c r="H75" s="50"/>
      <c r="I75" s="36">
        <f t="shared" si="2"/>
        <v>3436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/>
      <c r="B76" s="33"/>
      <c r="C76" s="43"/>
      <c r="D76" s="26"/>
      <c r="E76" s="84"/>
      <c r="F76" s="34">
        <f t="shared" si="1"/>
        <v>1083923</v>
      </c>
      <c r="G76" s="29"/>
      <c r="H76" s="50"/>
      <c r="I76" s="36">
        <f t="shared" si="2"/>
        <v>3436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/>
      <c r="B77" s="33"/>
      <c r="C77" s="43"/>
      <c r="D77" s="26"/>
      <c r="E77" s="84"/>
      <c r="F77" s="34">
        <f t="shared" si="1"/>
        <v>1083923</v>
      </c>
      <c r="G77" s="50"/>
      <c r="H77" s="50"/>
      <c r="I77" s="36">
        <f t="shared" si="2"/>
        <v>3436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5"/>
      <c r="B78" s="33"/>
      <c r="C78" s="43"/>
      <c r="D78" s="26"/>
      <c r="E78" s="84"/>
      <c r="F78" s="34">
        <f t="shared" si="1"/>
        <v>1083923</v>
      </c>
      <c r="G78" s="50"/>
      <c r="H78" s="50"/>
      <c r="I78" s="36">
        <f t="shared" si="2"/>
        <v>3436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5"/>
      <c r="B79" s="33"/>
      <c r="C79" s="43"/>
      <c r="D79" s="26"/>
      <c r="E79" s="84"/>
      <c r="F79" s="34">
        <f t="shared" si="1"/>
        <v>1083923</v>
      </c>
      <c r="G79" s="29"/>
      <c r="H79" s="50"/>
      <c r="I79" s="36">
        <f t="shared" si="2"/>
        <v>3436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/>
      <c r="B80" s="33"/>
      <c r="C80" s="43"/>
      <c r="D80" s="26"/>
      <c r="E80" s="84"/>
      <c r="F80" s="34">
        <f t="shared" si="1"/>
        <v>1083923</v>
      </c>
      <c r="G80" s="50"/>
      <c r="H80" s="50"/>
      <c r="I80" s="36">
        <f t="shared" si="2"/>
        <v>3436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/>
      <c r="B81" s="33"/>
      <c r="C81" s="43"/>
      <c r="D81" s="26"/>
      <c r="E81" s="84"/>
      <c r="F81" s="34">
        <f t="shared" si="1"/>
        <v>1083923</v>
      </c>
      <c r="G81" s="29"/>
      <c r="H81" s="50"/>
      <c r="I81" s="36">
        <f t="shared" si="2"/>
        <v>3436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43"/>
      <c r="D82" s="26"/>
      <c r="E82" s="84"/>
      <c r="F82" s="34">
        <f t="shared" si="1"/>
        <v>1083923</v>
      </c>
      <c r="G82" s="29"/>
      <c r="H82" s="50"/>
      <c r="I82" s="36">
        <f t="shared" si="2"/>
        <v>3436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6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6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6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6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6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3"/>
      <c r="E88" s="6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3"/>
      <c r="E89" s="6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3"/>
      <c r="E90" s="6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3"/>
      <c r="E91" s="6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3"/>
      <c r="E92" s="6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3"/>
      <c r="E93" s="6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3"/>
      <c r="E94" s="6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3"/>
      <c r="E95" s="6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3"/>
      <c r="E96" s="6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3"/>
      <c r="E97" s="6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3"/>
      <c r="E98" s="6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6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6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6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6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6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6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6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6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6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6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6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6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6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6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6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6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6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6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6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6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6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6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6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6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6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6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6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6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6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6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6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6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6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6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6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6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6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6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6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6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6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6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6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6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6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6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6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6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6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6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6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6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6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6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6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6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6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6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6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6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6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6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6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6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6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6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6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6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6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6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6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6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6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6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6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6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6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6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6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6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6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6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6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6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6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6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6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6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6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6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6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6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6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6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6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6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6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6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6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6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6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6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6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6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6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6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6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6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6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6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6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6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6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6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6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6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6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6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6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6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6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6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6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6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6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6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6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6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6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6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6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6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6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6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6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6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6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6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6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6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6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6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6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6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6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6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6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6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6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6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6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6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6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6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6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6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6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6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6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6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6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6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6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6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6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6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6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6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6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6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6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6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6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6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6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6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6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6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6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6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6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6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6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6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6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6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6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6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6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6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6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6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6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6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6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6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6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6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6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6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6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6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6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6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6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6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6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6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6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6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6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6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6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6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6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6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6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6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6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6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6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6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6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6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6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6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6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6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6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6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6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6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6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6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6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6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6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6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6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6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6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6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6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6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6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6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6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6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6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6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6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6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6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6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6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6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6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6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6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6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6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6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6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6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6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6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6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6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6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6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6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6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6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6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6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6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6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6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6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6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6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6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6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6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6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6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6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6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6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6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6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6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6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6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6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6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6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6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6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6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6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6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6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6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6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6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6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6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6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6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6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6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6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6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6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6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6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6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6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6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6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6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6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6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6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6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6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6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6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6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6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6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6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6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6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6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6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6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6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6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6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6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6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6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6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6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6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6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6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6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6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6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6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6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6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6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6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6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6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6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6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6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6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6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6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6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6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6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6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6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6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6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6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6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6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6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6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6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6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6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6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6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6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6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6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6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6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6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6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6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6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6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6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6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6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6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6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6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6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6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6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6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6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6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6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6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6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6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6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6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6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6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6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6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6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6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6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6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6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6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6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6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6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6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6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6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6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6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6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6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6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6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6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6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6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6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6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6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6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6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6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6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6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6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6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6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6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6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6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6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6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6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6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6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6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6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6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6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6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6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6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6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6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6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6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6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6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6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6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6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6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6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6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6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6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6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6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6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6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6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6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6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6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6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6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6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6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6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6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6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6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6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6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6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6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6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6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6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6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6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6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6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6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6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6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6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6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6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6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6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6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6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6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6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6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6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6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6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6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6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6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6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6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6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6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6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6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6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6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6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6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6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6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6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6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6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6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6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6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6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6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6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6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6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6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6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6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6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6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6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6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6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6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6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6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6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6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6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6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6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6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6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6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6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6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6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6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6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6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6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6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6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6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6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6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6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6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6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6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6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6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6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6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6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6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6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6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6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6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6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6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6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6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6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6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6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6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6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6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6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6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6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6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6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6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6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6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6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6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6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6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6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6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6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6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6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6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6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6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6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6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6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6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6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6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6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6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6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6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6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6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6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6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6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6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6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6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6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6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6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6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6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6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6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6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6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6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6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6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6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6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6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6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6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6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6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6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6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6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6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6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6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6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6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6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6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6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6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6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6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6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6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6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6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6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6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6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6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6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6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6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6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6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6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6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6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6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6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6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6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6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6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6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6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6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6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6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6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6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6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6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6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6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6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6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6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6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6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6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6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6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6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6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6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6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6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6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6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6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6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6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6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6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6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6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6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6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6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6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6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6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6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6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6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6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6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6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6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6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6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6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6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6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6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6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6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6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6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6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6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6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6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6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6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6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6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6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6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6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6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6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6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6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6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6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6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6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6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6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6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6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6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6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6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6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6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6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6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6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6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6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6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6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6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6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6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6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6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6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6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6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6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6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6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6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6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6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6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6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6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6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6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6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6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6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6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6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6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6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6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6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6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6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6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6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6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6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6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6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6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6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6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6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6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6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6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6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6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6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6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6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6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6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6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6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6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6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6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6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6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6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6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6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6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6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6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6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6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6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6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6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6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6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6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6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6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6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6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6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6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6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6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6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6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6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6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6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6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6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6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6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6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6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6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6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6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6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6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6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6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6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6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6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6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6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6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6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6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6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6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6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6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6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6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6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6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6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6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6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6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6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6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6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6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6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6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69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69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69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69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69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69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69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69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69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69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69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69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69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69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6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5.38"/>
  </cols>
  <sheetData>
    <row r="1">
      <c r="A1" s="1" t="s">
        <v>555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15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/>
      <c r="B5" s="33"/>
      <c r="C5" s="43" t="s">
        <v>9</v>
      </c>
      <c r="D5" s="56">
        <v>1083923.0</v>
      </c>
      <c r="E5" s="84"/>
      <c r="F5" s="34">
        <f t="shared" ref="F5:F82" si="1">F4+D5-E5</f>
        <v>1083923</v>
      </c>
      <c r="G5" s="28"/>
      <c r="H5" s="29"/>
      <c r="I5" s="78">
        <v>3436.0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10">
        <v>46027.0</v>
      </c>
      <c r="B6" s="43" t="s">
        <v>223</v>
      </c>
      <c r="C6" s="43" t="s">
        <v>556</v>
      </c>
      <c r="D6" s="111"/>
      <c r="E6" s="111"/>
      <c r="F6" s="34">
        <f t="shared" si="1"/>
        <v>1083923</v>
      </c>
      <c r="G6" s="28">
        <v>10000.0</v>
      </c>
      <c r="H6" s="50"/>
      <c r="I6" s="36">
        <f t="shared" ref="I6:I82" si="2">I5+G6-H6</f>
        <v>13436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10">
        <v>46027.0</v>
      </c>
      <c r="B7" s="43" t="s">
        <v>223</v>
      </c>
      <c r="C7" s="43" t="s">
        <v>557</v>
      </c>
      <c r="D7" s="52">
        <v>2500000.0</v>
      </c>
      <c r="E7" s="111"/>
      <c r="F7" s="34">
        <f t="shared" si="1"/>
        <v>3583923</v>
      </c>
      <c r="G7" s="50"/>
      <c r="H7" s="50"/>
      <c r="I7" s="36">
        <f t="shared" si="2"/>
        <v>13436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10">
        <v>46027.0</v>
      </c>
      <c r="B8" s="43" t="s">
        <v>63</v>
      </c>
      <c r="C8" s="48" t="s">
        <v>355</v>
      </c>
      <c r="D8" s="89"/>
      <c r="E8" s="111"/>
      <c r="F8" s="34">
        <f t="shared" si="1"/>
        <v>3583923</v>
      </c>
      <c r="G8" s="50"/>
      <c r="H8" s="28">
        <v>2500.0</v>
      </c>
      <c r="I8" s="36">
        <f t="shared" si="2"/>
        <v>10936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0">
        <v>46027.0</v>
      </c>
      <c r="B9" s="43" t="s">
        <v>63</v>
      </c>
      <c r="C9" s="48" t="s">
        <v>409</v>
      </c>
      <c r="D9" s="111"/>
      <c r="E9" s="111"/>
      <c r="F9" s="34">
        <f t="shared" si="1"/>
        <v>3583923</v>
      </c>
      <c r="G9" s="29"/>
      <c r="H9" s="50">
        <v>2500.0</v>
      </c>
      <c r="I9" s="36">
        <f t="shared" si="2"/>
        <v>8436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0">
        <v>46027.0</v>
      </c>
      <c r="B10" s="43" t="s">
        <v>63</v>
      </c>
      <c r="C10" s="48" t="s">
        <v>411</v>
      </c>
      <c r="D10" s="44"/>
      <c r="E10" s="111"/>
      <c r="F10" s="34">
        <f t="shared" si="1"/>
        <v>3583923</v>
      </c>
      <c r="G10" s="50"/>
      <c r="H10" s="50">
        <v>2100.0</v>
      </c>
      <c r="I10" s="36">
        <f t="shared" si="2"/>
        <v>6336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0">
        <v>46027.0</v>
      </c>
      <c r="B11" s="43" t="s">
        <v>63</v>
      </c>
      <c r="C11" s="48" t="s">
        <v>558</v>
      </c>
      <c r="D11" s="52"/>
      <c r="E11" s="111">
        <v>863230.0</v>
      </c>
      <c r="F11" s="34">
        <f t="shared" si="1"/>
        <v>2720693</v>
      </c>
      <c r="G11" s="50"/>
      <c r="H11" s="50"/>
      <c r="I11" s="36">
        <f t="shared" si="2"/>
        <v>6336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10">
        <v>46028.0</v>
      </c>
      <c r="B12" s="43" t="s">
        <v>63</v>
      </c>
      <c r="C12" s="137" t="s">
        <v>559</v>
      </c>
      <c r="D12" s="107"/>
      <c r="E12" s="107">
        <v>67340.0</v>
      </c>
      <c r="F12" s="34">
        <f t="shared" si="1"/>
        <v>2653353</v>
      </c>
      <c r="G12" s="50"/>
      <c r="H12" s="50"/>
      <c r="I12" s="36">
        <f t="shared" si="2"/>
        <v>6336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10">
        <v>46028.0</v>
      </c>
      <c r="B13" s="43" t="s">
        <v>63</v>
      </c>
      <c r="C13" s="48" t="s">
        <v>560</v>
      </c>
      <c r="D13" s="52"/>
      <c r="E13" s="111">
        <v>104386.0</v>
      </c>
      <c r="F13" s="34">
        <f t="shared" si="1"/>
        <v>2548967</v>
      </c>
      <c r="G13" s="50"/>
      <c r="H13" s="28"/>
      <c r="I13" s="36">
        <f t="shared" si="2"/>
        <v>6336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10">
        <v>46028.0</v>
      </c>
      <c r="B14" s="43" t="s">
        <v>223</v>
      </c>
      <c r="C14" s="43" t="s">
        <v>561</v>
      </c>
      <c r="D14" s="52">
        <v>4499200.0</v>
      </c>
      <c r="E14" s="111"/>
      <c r="F14" s="34">
        <f t="shared" si="1"/>
        <v>7048167</v>
      </c>
      <c r="G14" s="38"/>
      <c r="H14" s="50">
        <v>3000.0</v>
      </c>
      <c r="I14" s="36">
        <f t="shared" si="2"/>
        <v>3336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10">
        <v>46028.0</v>
      </c>
      <c r="B15" s="43" t="s">
        <v>223</v>
      </c>
      <c r="C15" s="43" t="s">
        <v>562</v>
      </c>
      <c r="D15" s="52"/>
      <c r="E15" s="52">
        <v>4193873.0</v>
      </c>
      <c r="F15" s="34">
        <f t="shared" si="1"/>
        <v>2854294</v>
      </c>
      <c r="G15" s="28"/>
      <c r="H15" s="28"/>
      <c r="I15" s="36">
        <f t="shared" si="2"/>
        <v>3336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10">
        <v>46028.0</v>
      </c>
      <c r="B16" s="43" t="s">
        <v>63</v>
      </c>
      <c r="C16" s="48" t="s">
        <v>315</v>
      </c>
      <c r="D16" s="52"/>
      <c r="E16" s="111">
        <v>100000.0</v>
      </c>
      <c r="F16" s="34">
        <f t="shared" si="1"/>
        <v>2754294</v>
      </c>
      <c r="G16" s="50"/>
      <c r="H16" s="50"/>
      <c r="I16" s="36">
        <f t="shared" si="2"/>
        <v>3336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10">
        <v>46028.0</v>
      </c>
      <c r="B17" s="43" t="s">
        <v>223</v>
      </c>
      <c r="C17" s="43" t="s">
        <v>423</v>
      </c>
      <c r="D17" s="111"/>
      <c r="E17" s="111">
        <v>1142440.0</v>
      </c>
      <c r="F17" s="34">
        <f t="shared" si="1"/>
        <v>1611854</v>
      </c>
      <c r="G17" s="50"/>
      <c r="H17" s="50"/>
      <c r="I17" s="36">
        <f t="shared" si="2"/>
        <v>3336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10">
        <v>46028.0</v>
      </c>
      <c r="B18" s="43" t="s">
        <v>63</v>
      </c>
      <c r="C18" s="48" t="s">
        <v>563</v>
      </c>
      <c r="D18" s="52"/>
      <c r="E18" s="111">
        <v>350000.0</v>
      </c>
      <c r="F18" s="34">
        <f t="shared" si="1"/>
        <v>1261854</v>
      </c>
      <c r="G18" s="54"/>
      <c r="H18" s="50"/>
      <c r="I18" s="36">
        <f t="shared" si="2"/>
        <v>3336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10">
        <v>46028.0</v>
      </c>
      <c r="B19" s="43" t="s">
        <v>63</v>
      </c>
      <c r="C19" s="48" t="s">
        <v>318</v>
      </c>
      <c r="D19" s="111"/>
      <c r="E19" s="111">
        <v>447000.0</v>
      </c>
      <c r="F19" s="34">
        <f t="shared" si="1"/>
        <v>814854</v>
      </c>
      <c r="G19" s="50"/>
      <c r="H19" s="50"/>
      <c r="I19" s="36">
        <f t="shared" si="2"/>
        <v>3336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10">
        <v>46028.0</v>
      </c>
      <c r="B20" s="43" t="s">
        <v>83</v>
      </c>
      <c r="C20" s="43" t="s">
        <v>564</v>
      </c>
      <c r="D20" s="111">
        <v>428400.0</v>
      </c>
      <c r="E20" s="111"/>
      <c r="F20" s="34">
        <f t="shared" si="1"/>
        <v>1243254</v>
      </c>
      <c r="G20" s="50"/>
      <c r="H20" s="54"/>
      <c r="I20" s="36">
        <f t="shared" si="2"/>
        <v>3336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10">
        <v>46028.0</v>
      </c>
      <c r="B21" s="43" t="s">
        <v>83</v>
      </c>
      <c r="C21" s="43" t="s">
        <v>565</v>
      </c>
      <c r="D21" s="52">
        <v>497250.0</v>
      </c>
      <c r="E21" s="111"/>
      <c r="F21" s="34">
        <f t="shared" si="1"/>
        <v>1740504</v>
      </c>
      <c r="G21" s="54"/>
      <c r="H21" s="54"/>
      <c r="I21" s="36">
        <f t="shared" si="2"/>
        <v>3336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10">
        <v>46029.0</v>
      </c>
      <c r="B22" s="43" t="s">
        <v>83</v>
      </c>
      <c r="C22" s="43" t="s">
        <v>566</v>
      </c>
      <c r="D22" s="52">
        <v>1000000.0</v>
      </c>
      <c r="E22" s="118"/>
      <c r="F22" s="34">
        <f t="shared" si="1"/>
        <v>2740504</v>
      </c>
      <c r="G22" s="29"/>
      <c r="H22" s="50"/>
      <c r="I22" s="36">
        <f t="shared" si="2"/>
        <v>3336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10">
        <v>46029.0</v>
      </c>
      <c r="B23" s="43" t="s">
        <v>83</v>
      </c>
      <c r="C23" s="43" t="s">
        <v>567</v>
      </c>
      <c r="D23" s="52"/>
      <c r="E23" s="111"/>
      <c r="F23" s="34">
        <f t="shared" si="1"/>
        <v>2740504</v>
      </c>
      <c r="G23" s="50">
        <v>250.0</v>
      </c>
      <c r="H23" s="28"/>
      <c r="I23" s="36">
        <f t="shared" si="2"/>
        <v>3586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10">
        <v>46029.0</v>
      </c>
      <c r="B24" s="43" t="s">
        <v>223</v>
      </c>
      <c r="C24" s="43" t="s">
        <v>568</v>
      </c>
      <c r="D24" s="52"/>
      <c r="E24" s="52">
        <v>500000.0</v>
      </c>
      <c r="F24" s="34">
        <f t="shared" si="1"/>
        <v>2240504</v>
      </c>
      <c r="G24" s="29"/>
      <c r="H24" s="50"/>
      <c r="I24" s="36">
        <f t="shared" si="2"/>
        <v>3586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10">
        <v>46029.0</v>
      </c>
      <c r="B25" s="43" t="s">
        <v>83</v>
      </c>
      <c r="C25" s="43" t="s">
        <v>569</v>
      </c>
      <c r="D25" s="52"/>
      <c r="E25" s="111"/>
      <c r="F25" s="34">
        <f t="shared" si="1"/>
        <v>2240504</v>
      </c>
      <c r="G25" s="50">
        <v>750.0</v>
      </c>
      <c r="H25" s="50"/>
      <c r="I25" s="36">
        <f t="shared" si="2"/>
        <v>4336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1">
        <v>46030.0</v>
      </c>
      <c r="B26" s="43" t="s">
        <v>83</v>
      </c>
      <c r="C26" s="43" t="s">
        <v>316</v>
      </c>
      <c r="D26" s="111">
        <v>408602.8</v>
      </c>
      <c r="E26" s="111"/>
      <c r="F26" s="34">
        <f t="shared" si="1"/>
        <v>2649106.8</v>
      </c>
      <c r="G26" s="50"/>
      <c r="H26" s="28">
        <v>1120.0</v>
      </c>
      <c r="I26" s="36">
        <f t="shared" si="2"/>
        <v>3216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1">
        <v>46030.0</v>
      </c>
      <c r="B27" s="43" t="s">
        <v>63</v>
      </c>
      <c r="C27" s="48" t="s">
        <v>570</v>
      </c>
      <c r="D27" s="111"/>
      <c r="E27" s="111">
        <v>223505.0</v>
      </c>
      <c r="F27" s="34">
        <f t="shared" si="1"/>
        <v>2425601.8</v>
      </c>
      <c r="G27" s="50"/>
      <c r="H27" s="50"/>
      <c r="I27" s="36">
        <f t="shared" si="2"/>
        <v>3216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1">
        <v>46030.0</v>
      </c>
      <c r="B28" s="43" t="s">
        <v>83</v>
      </c>
      <c r="C28" s="43" t="s">
        <v>571</v>
      </c>
      <c r="D28" s="44"/>
      <c r="E28" s="111"/>
      <c r="F28" s="34">
        <f t="shared" si="1"/>
        <v>2425601.8</v>
      </c>
      <c r="G28" s="50">
        <v>300.0</v>
      </c>
      <c r="H28" s="50"/>
      <c r="I28" s="36">
        <f t="shared" si="2"/>
        <v>3516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1">
        <v>46031.0</v>
      </c>
      <c r="B29" s="43" t="s">
        <v>223</v>
      </c>
      <c r="C29" s="43" t="s">
        <v>572</v>
      </c>
      <c r="D29" s="111"/>
      <c r="E29" s="111">
        <v>1000000.0</v>
      </c>
      <c r="F29" s="34">
        <f t="shared" si="1"/>
        <v>1425601.8</v>
      </c>
      <c r="G29" s="50"/>
      <c r="H29" s="50"/>
      <c r="I29" s="36">
        <f t="shared" si="2"/>
        <v>3516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1">
        <v>46031.0</v>
      </c>
      <c r="B30" s="43" t="s">
        <v>63</v>
      </c>
      <c r="C30" s="48" t="s">
        <v>108</v>
      </c>
      <c r="D30" s="111"/>
      <c r="E30" s="111">
        <v>10000.0</v>
      </c>
      <c r="F30" s="34">
        <f t="shared" si="1"/>
        <v>1415601.8</v>
      </c>
      <c r="G30" s="50"/>
      <c r="H30" s="50"/>
      <c r="I30" s="36">
        <f t="shared" si="2"/>
        <v>3516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1">
        <v>46031.0</v>
      </c>
      <c r="B31" s="43" t="s">
        <v>223</v>
      </c>
      <c r="C31" s="43" t="s">
        <v>573</v>
      </c>
      <c r="D31" s="111">
        <v>295200.0</v>
      </c>
      <c r="E31" s="111"/>
      <c r="F31" s="34">
        <f t="shared" si="1"/>
        <v>1710801.8</v>
      </c>
      <c r="G31" s="50"/>
      <c r="H31" s="28"/>
      <c r="I31" s="36">
        <f t="shared" si="2"/>
        <v>3516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1">
        <v>46031.0</v>
      </c>
      <c r="B32" s="43" t="s">
        <v>63</v>
      </c>
      <c r="C32" s="48" t="s">
        <v>574</v>
      </c>
      <c r="D32" s="52"/>
      <c r="E32" s="111">
        <v>260000.0</v>
      </c>
      <c r="F32" s="34">
        <f t="shared" si="1"/>
        <v>1450801.8</v>
      </c>
      <c r="G32" s="50"/>
      <c r="H32" s="50"/>
      <c r="I32" s="36">
        <f t="shared" si="2"/>
        <v>3516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1">
        <v>46034.0</v>
      </c>
      <c r="B33" s="43" t="s">
        <v>83</v>
      </c>
      <c r="C33" s="43" t="s">
        <v>575</v>
      </c>
      <c r="D33" s="102">
        <v>401280.0</v>
      </c>
      <c r="E33" s="111"/>
      <c r="F33" s="34">
        <f t="shared" si="1"/>
        <v>1852081.8</v>
      </c>
      <c r="G33" s="50"/>
      <c r="H33" s="28"/>
      <c r="I33" s="36">
        <f t="shared" si="2"/>
        <v>3516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1">
        <v>46034.0</v>
      </c>
      <c r="B34" s="43" t="s">
        <v>83</v>
      </c>
      <c r="C34" s="43" t="s">
        <v>576</v>
      </c>
      <c r="D34" s="111">
        <v>24320.0</v>
      </c>
      <c r="E34" s="111"/>
      <c r="F34" s="34">
        <f t="shared" si="1"/>
        <v>1876401.8</v>
      </c>
      <c r="G34" s="50">
        <v>150.0</v>
      </c>
      <c r="H34" s="50"/>
      <c r="I34" s="36">
        <f t="shared" si="2"/>
        <v>3666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46034.0</v>
      </c>
      <c r="B35" s="43" t="s">
        <v>83</v>
      </c>
      <c r="C35" s="43" t="s">
        <v>577</v>
      </c>
      <c r="D35" s="52">
        <v>30400.0</v>
      </c>
      <c r="E35" s="111"/>
      <c r="F35" s="92">
        <f t="shared" si="1"/>
        <v>1906801.8</v>
      </c>
      <c r="G35" s="54">
        <v>700.0</v>
      </c>
      <c r="H35" s="54"/>
      <c r="I35" s="93">
        <f t="shared" si="2"/>
        <v>4366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46034.0</v>
      </c>
      <c r="B36" s="43" t="s">
        <v>83</v>
      </c>
      <c r="C36" s="43" t="s">
        <v>578</v>
      </c>
      <c r="D36" s="52"/>
      <c r="E36" s="111">
        <v>737200.0</v>
      </c>
      <c r="F36" s="34">
        <f t="shared" si="1"/>
        <v>1169601.8</v>
      </c>
      <c r="G36" s="50"/>
      <c r="H36" s="50"/>
      <c r="I36" s="36">
        <f t="shared" si="2"/>
        <v>4366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46035.0</v>
      </c>
      <c r="B37" s="43" t="s">
        <v>63</v>
      </c>
      <c r="C37" s="48" t="s">
        <v>579</v>
      </c>
      <c r="D37" s="52"/>
      <c r="E37" s="111">
        <v>154000.0</v>
      </c>
      <c r="F37" s="34">
        <f t="shared" si="1"/>
        <v>1015601.8</v>
      </c>
      <c r="G37" s="28"/>
      <c r="H37" s="50"/>
      <c r="I37" s="36">
        <f t="shared" si="2"/>
        <v>4366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38">
        <v>46035.0</v>
      </c>
      <c r="B38" s="43" t="s">
        <v>83</v>
      </c>
      <c r="C38" s="43" t="s">
        <v>580</v>
      </c>
      <c r="D38" s="52"/>
      <c r="E38" s="111"/>
      <c r="F38" s="34">
        <f t="shared" si="1"/>
        <v>1015601.8</v>
      </c>
      <c r="G38" s="50">
        <v>280.0</v>
      </c>
      <c r="H38" s="28"/>
      <c r="I38" s="36">
        <f t="shared" si="2"/>
        <v>4646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38">
        <v>46035.0</v>
      </c>
      <c r="B39" s="43" t="s">
        <v>63</v>
      </c>
      <c r="C39" s="48" t="s">
        <v>581</v>
      </c>
      <c r="D39" s="52"/>
      <c r="E39" s="111">
        <v>35000.0</v>
      </c>
      <c r="F39" s="34">
        <f t="shared" si="1"/>
        <v>980601.8</v>
      </c>
      <c r="G39" s="50"/>
      <c r="H39" s="50"/>
      <c r="I39" s="36">
        <f t="shared" si="2"/>
        <v>4646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38">
        <v>46035.0</v>
      </c>
      <c r="B40" s="126" t="s">
        <v>63</v>
      </c>
      <c r="C40" s="48" t="s">
        <v>317</v>
      </c>
      <c r="D40" s="102">
        <v>441000.0</v>
      </c>
      <c r="E40" s="111">
        <v>1137000.0</v>
      </c>
      <c r="F40" s="92">
        <f t="shared" si="1"/>
        <v>284601.8</v>
      </c>
      <c r="G40" s="54"/>
      <c r="H40" s="97">
        <v>300.0</v>
      </c>
      <c r="I40" s="98">
        <f t="shared" si="2"/>
        <v>4346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138">
        <v>46035.0</v>
      </c>
      <c r="B41" s="43" t="s">
        <v>63</v>
      </c>
      <c r="C41" s="99" t="s">
        <v>108</v>
      </c>
      <c r="D41" s="102"/>
      <c r="E41" s="111">
        <v>10000.0</v>
      </c>
      <c r="F41" s="34">
        <f t="shared" si="1"/>
        <v>274601.8</v>
      </c>
      <c r="G41" s="28"/>
      <c r="H41" s="28"/>
      <c r="I41" s="36">
        <f t="shared" si="2"/>
        <v>4346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38">
        <v>46036.0</v>
      </c>
      <c r="B42" s="43" t="s">
        <v>223</v>
      </c>
      <c r="C42" s="43" t="s">
        <v>582</v>
      </c>
      <c r="D42" s="52">
        <v>6040000.0</v>
      </c>
      <c r="E42" s="52">
        <v>6040000.0</v>
      </c>
      <c r="F42" s="34">
        <f t="shared" si="1"/>
        <v>274601.8</v>
      </c>
      <c r="G42" s="50">
        <v>4000.0</v>
      </c>
      <c r="H42" s="50"/>
      <c r="I42" s="36">
        <f t="shared" si="2"/>
        <v>8346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38">
        <v>46036.0</v>
      </c>
      <c r="B43" s="43" t="s">
        <v>223</v>
      </c>
      <c r="C43" s="43" t="s">
        <v>583</v>
      </c>
      <c r="D43" s="52">
        <v>133000.0</v>
      </c>
      <c r="E43" s="111"/>
      <c r="F43" s="34">
        <f t="shared" si="1"/>
        <v>407601.8</v>
      </c>
      <c r="G43" s="50"/>
      <c r="H43" s="50"/>
      <c r="I43" s="36">
        <f t="shared" si="2"/>
        <v>8346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138">
        <v>46036.0</v>
      </c>
      <c r="B44" s="43" t="s">
        <v>63</v>
      </c>
      <c r="C44" s="48" t="s">
        <v>229</v>
      </c>
      <c r="D44" s="52"/>
      <c r="E44" s="52">
        <v>72000.0</v>
      </c>
      <c r="F44" s="34">
        <f t="shared" si="1"/>
        <v>335601.8</v>
      </c>
      <c r="G44" s="50"/>
      <c r="H44" s="50"/>
      <c r="I44" s="36">
        <f t="shared" si="2"/>
        <v>8346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38">
        <v>46036.0</v>
      </c>
      <c r="B45" s="43" t="s">
        <v>223</v>
      </c>
      <c r="C45" s="43" t="s">
        <v>584</v>
      </c>
      <c r="D45" s="111"/>
      <c r="E45" s="111">
        <v>15900.0</v>
      </c>
      <c r="F45" s="34">
        <f t="shared" si="1"/>
        <v>319701.8</v>
      </c>
      <c r="G45" s="29"/>
      <c r="H45" s="50"/>
      <c r="I45" s="36">
        <f t="shared" si="2"/>
        <v>8346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138">
        <v>46036.0</v>
      </c>
      <c r="B46" s="43" t="s">
        <v>63</v>
      </c>
      <c r="C46" s="48" t="s">
        <v>585</v>
      </c>
      <c r="D46" s="52"/>
      <c r="E46" s="111"/>
      <c r="F46" s="34">
        <f t="shared" si="1"/>
        <v>319701.8</v>
      </c>
      <c r="G46" s="29"/>
      <c r="H46" s="50">
        <v>500.0</v>
      </c>
      <c r="I46" s="36">
        <f t="shared" si="2"/>
        <v>7846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38">
        <v>46036.0</v>
      </c>
      <c r="B47" s="43" t="s">
        <v>223</v>
      </c>
      <c r="C47" s="43" t="s">
        <v>586</v>
      </c>
      <c r="D47" s="52">
        <v>151000.0</v>
      </c>
      <c r="E47" s="111"/>
      <c r="F47" s="34">
        <f t="shared" si="1"/>
        <v>470701.8</v>
      </c>
      <c r="G47" s="50">
        <v>3500.0</v>
      </c>
      <c r="H47" s="50"/>
      <c r="I47" s="36">
        <f t="shared" si="2"/>
        <v>11346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1">
        <v>46037.0</v>
      </c>
      <c r="B48" s="43" t="s">
        <v>223</v>
      </c>
      <c r="C48" s="43" t="s">
        <v>587</v>
      </c>
      <c r="D48" s="111">
        <v>592000.0</v>
      </c>
      <c r="E48" s="111"/>
      <c r="F48" s="34">
        <f t="shared" si="1"/>
        <v>1062701.8</v>
      </c>
      <c r="G48" s="29"/>
      <c r="H48" s="50">
        <v>400.0</v>
      </c>
      <c r="I48" s="36">
        <f t="shared" si="2"/>
        <v>10946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1">
        <v>46037.0</v>
      </c>
      <c r="B49" s="43" t="s">
        <v>223</v>
      </c>
      <c r="C49" s="43" t="s">
        <v>572</v>
      </c>
      <c r="D49" s="52"/>
      <c r="E49" s="111">
        <v>1000000.0</v>
      </c>
      <c r="F49" s="34">
        <f t="shared" si="1"/>
        <v>62701.8</v>
      </c>
      <c r="G49" s="29"/>
      <c r="H49" s="50"/>
      <c r="I49" s="36">
        <f t="shared" si="2"/>
        <v>10946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1">
        <v>46037.0</v>
      </c>
      <c r="B50" s="43" t="s">
        <v>63</v>
      </c>
      <c r="C50" s="48" t="s">
        <v>229</v>
      </c>
      <c r="D50" s="52"/>
      <c r="E50" s="111">
        <v>7900.0</v>
      </c>
      <c r="F50" s="34">
        <f t="shared" si="1"/>
        <v>54801.8</v>
      </c>
      <c r="G50" s="50"/>
      <c r="H50" s="50"/>
      <c r="I50" s="36">
        <f t="shared" si="2"/>
        <v>10946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6">
        <v>46038.0</v>
      </c>
      <c r="B51" s="43" t="s">
        <v>223</v>
      </c>
      <c r="C51" s="43" t="s">
        <v>588</v>
      </c>
      <c r="D51" s="44"/>
      <c r="E51" s="111"/>
      <c r="F51" s="34">
        <f t="shared" si="1"/>
        <v>54801.8</v>
      </c>
      <c r="G51" s="50"/>
      <c r="H51" s="50">
        <v>1390.0</v>
      </c>
      <c r="I51" s="36">
        <f t="shared" si="2"/>
        <v>9556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6">
        <v>46038.0</v>
      </c>
      <c r="B52" s="43" t="s">
        <v>63</v>
      </c>
      <c r="C52" s="48" t="s">
        <v>589</v>
      </c>
      <c r="D52" s="52"/>
      <c r="E52" s="111">
        <v>7800.0</v>
      </c>
      <c r="F52" s="34">
        <f t="shared" si="1"/>
        <v>47001.8</v>
      </c>
      <c r="G52" s="50"/>
      <c r="H52" s="29"/>
      <c r="I52" s="36">
        <f t="shared" si="2"/>
        <v>9556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6">
        <v>46038.0</v>
      </c>
      <c r="B53" s="43" t="s">
        <v>223</v>
      </c>
      <c r="C53" s="43" t="s">
        <v>590</v>
      </c>
      <c r="D53" s="52">
        <v>2000000.0</v>
      </c>
      <c r="E53" s="111">
        <v>1510000.0</v>
      </c>
      <c r="F53" s="34">
        <f t="shared" si="1"/>
        <v>537001.8</v>
      </c>
      <c r="G53" s="50">
        <v>1000.0</v>
      </c>
      <c r="H53" s="50"/>
      <c r="I53" s="36">
        <f t="shared" si="2"/>
        <v>10556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6">
        <v>46038.0</v>
      </c>
      <c r="B54" s="43" t="s">
        <v>223</v>
      </c>
      <c r="C54" s="43" t="s">
        <v>591</v>
      </c>
      <c r="D54" s="52"/>
      <c r="E54" s="111">
        <v>500000.0</v>
      </c>
      <c r="F54" s="34">
        <f t="shared" si="1"/>
        <v>37001.8</v>
      </c>
      <c r="G54" s="50"/>
      <c r="H54" s="50"/>
      <c r="I54" s="36">
        <f t="shared" si="2"/>
        <v>10556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6">
        <v>46041.0</v>
      </c>
      <c r="B55" s="43" t="s">
        <v>223</v>
      </c>
      <c r="C55" s="43" t="s">
        <v>592</v>
      </c>
      <c r="D55" s="52">
        <v>530250.0</v>
      </c>
      <c r="E55" s="111"/>
      <c r="F55" s="34">
        <f t="shared" si="1"/>
        <v>567251.8</v>
      </c>
      <c r="G55" s="29"/>
      <c r="H55" s="50"/>
      <c r="I55" s="36">
        <f t="shared" si="2"/>
        <v>10556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6">
        <v>46315.0</v>
      </c>
      <c r="B56" s="43" t="s">
        <v>63</v>
      </c>
      <c r="C56" s="48" t="s">
        <v>229</v>
      </c>
      <c r="D56" s="44"/>
      <c r="E56" s="111">
        <v>3200.0</v>
      </c>
      <c r="F56" s="34">
        <f t="shared" si="1"/>
        <v>564051.8</v>
      </c>
      <c r="G56" s="50"/>
      <c r="H56" s="29"/>
      <c r="I56" s="36">
        <f t="shared" si="2"/>
        <v>10556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6">
        <v>46043.0</v>
      </c>
      <c r="B57" s="43" t="s">
        <v>63</v>
      </c>
      <c r="C57" s="101" t="s">
        <v>593</v>
      </c>
      <c r="D57" s="52"/>
      <c r="E57" s="118">
        <v>150000.0</v>
      </c>
      <c r="F57" s="34">
        <f t="shared" si="1"/>
        <v>414051.8</v>
      </c>
      <c r="G57" s="50"/>
      <c r="H57" s="35"/>
      <c r="I57" s="36">
        <f t="shared" si="2"/>
        <v>10556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6">
        <v>46044.0</v>
      </c>
      <c r="B58" s="43" t="s">
        <v>223</v>
      </c>
      <c r="C58" s="43" t="s">
        <v>594</v>
      </c>
      <c r="D58" s="52"/>
      <c r="E58" s="111">
        <v>150000.0</v>
      </c>
      <c r="F58" s="34">
        <f t="shared" si="1"/>
        <v>264051.8</v>
      </c>
      <c r="G58" s="50"/>
      <c r="H58" s="50"/>
      <c r="I58" s="36">
        <f t="shared" si="2"/>
        <v>10556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6">
        <v>46044.0</v>
      </c>
      <c r="B59" s="43" t="s">
        <v>63</v>
      </c>
      <c r="C59" s="48" t="s">
        <v>595</v>
      </c>
      <c r="D59" s="52"/>
      <c r="E59" s="111">
        <v>10000.0</v>
      </c>
      <c r="F59" s="34">
        <f t="shared" si="1"/>
        <v>254051.8</v>
      </c>
      <c r="G59" s="50"/>
      <c r="H59" s="50"/>
      <c r="I59" s="36">
        <f t="shared" si="2"/>
        <v>10556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6">
        <v>46044.0</v>
      </c>
      <c r="B60" s="43" t="s">
        <v>63</v>
      </c>
      <c r="C60" s="48" t="s">
        <v>108</v>
      </c>
      <c r="D60" s="44"/>
      <c r="E60" s="111">
        <v>10000.0</v>
      </c>
      <c r="F60" s="34">
        <f t="shared" si="1"/>
        <v>244051.8</v>
      </c>
      <c r="G60" s="50"/>
      <c r="H60" s="50"/>
      <c r="I60" s="36">
        <f t="shared" si="2"/>
        <v>10556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6">
        <v>46044.0</v>
      </c>
      <c r="B61" s="43" t="s">
        <v>63</v>
      </c>
      <c r="C61" s="48" t="s">
        <v>596</v>
      </c>
      <c r="D61" s="44"/>
      <c r="E61" s="111">
        <v>16000.0</v>
      </c>
      <c r="F61" s="34">
        <f t="shared" si="1"/>
        <v>228051.8</v>
      </c>
      <c r="G61" s="50"/>
      <c r="H61" s="50"/>
      <c r="I61" s="36">
        <f t="shared" si="2"/>
        <v>10556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6">
        <v>46045.0</v>
      </c>
      <c r="B62" s="43" t="s">
        <v>223</v>
      </c>
      <c r="C62" s="43" t="s">
        <v>597</v>
      </c>
      <c r="D62" s="111">
        <v>600000.0</v>
      </c>
      <c r="E62" s="111"/>
      <c r="F62" s="34">
        <f t="shared" si="1"/>
        <v>828051.8</v>
      </c>
      <c r="G62" s="29"/>
      <c r="H62" s="50"/>
      <c r="I62" s="36">
        <f t="shared" si="2"/>
        <v>10556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6">
        <v>46045.0</v>
      </c>
      <c r="B63" s="127" t="s">
        <v>223</v>
      </c>
      <c r="C63" s="127" t="s">
        <v>598</v>
      </c>
      <c r="D63" s="52">
        <v>882000.0</v>
      </c>
      <c r="E63" s="111">
        <v>800000.0</v>
      </c>
      <c r="F63" s="34">
        <f t="shared" si="1"/>
        <v>910051.8</v>
      </c>
      <c r="G63" s="50"/>
      <c r="H63" s="50">
        <v>700.0</v>
      </c>
      <c r="I63" s="36">
        <f t="shared" si="2"/>
        <v>9856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6">
        <v>46050.0</v>
      </c>
      <c r="B64" s="43" t="s">
        <v>223</v>
      </c>
      <c r="C64" s="43" t="s">
        <v>316</v>
      </c>
      <c r="D64" s="52">
        <v>3012800.0</v>
      </c>
      <c r="E64" s="111"/>
      <c r="F64" s="34">
        <f t="shared" si="1"/>
        <v>3922851.8</v>
      </c>
      <c r="G64" s="28"/>
      <c r="H64" s="50"/>
      <c r="I64" s="36">
        <f t="shared" si="2"/>
        <v>9856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6">
        <v>46051.0</v>
      </c>
      <c r="B65" s="43" t="s">
        <v>63</v>
      </c>
      <c r="C65" s="48" t="s">
        <v>599</v>
      </c>
      <c r="D65" s="44"/>
      <c r="E65" s="111">
        <v>2731000.0</v>
      </c>
      <c r="F65" s="34">
        <f t="shared" si="1"/>
        <v>1191851.8</v>
      </c>
      <c r="G65" s="28"/>
      <c r="H65" s="50">
        <v>1350.0</v>
      </c>
      <c r="I65" s="36">
        <f t="shared" si="2"/>
        <v>8506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6">
        <v>46051.0</v>
      </c>
      <c r="B66" s="43" t="s">
        <v>63</v>
      </c>
      <c r="C66" s="48" t="s">
        <v>600</v>
      </c>
      <c r="D66" s="52"/>
      <c r="E66" s="111">
        <v>67500.0</v>
      </c>
      <c r="F66" s="34">
        <f t="shared" si="1"/>
        <v>1124351.8</v>
      </c>
      <c r="G66" s="38"/>
      <c r="H66" s="50"/>
      <c r="I66" s="36">
        <f t="shared" si="2"/>
        <v>8506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6">
        <v>46051.0</v>
      </c>
      <c r="B67" s="43" t="s">
        <v>63</v>
      </c>
      <c r="C67" s="48" t="s">
        <v>601</v>
      </c>
      <c r="D67" s="44"/>
      <c r="E67" s="111">
        <v>100000.0</v>
      </c>
      <c r="F67" s="34">
        <f t="shared" si="1"/>
        <v>1024351.8</v>
      </c>
      <c r="G67" s="38"/>
      <c r="H67" s="29"/>
      <c r="I67" s="36">
        <f t="shared" si="2"/>
        <v>8506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6">
        <v>46051.0</v>
      </c>
      <c r="B68" s="43" t="s">
        <v>223</v>
      </c>
      <c r="C68" s="43" t="s">
        <v>572</v>
      </c>
      <c r="D68" s="52"/>
      <c r="E68" s="111">
        <v>800000.0</v>
      </c>
      <c r="F68" s="34">
        <f t="shared" si="1"/>
        <v>224351.8</v>
      </c>
      <c r="G68" s="38"/>
      <c r="H68" s="29"/>
      <c r="I68" s="36">
        <f t="shared" si="2"/>
        <v>8506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6">
        <v>46051.0</v>
      </c>
      <c r="B69" s="43" t="s">
        <v>63</v>
      </c>
      <c r="C69" s="48" t="s">
        <v>108</v>
      </c>
      <c r="D69" s="44"/>
      <c r="E69" s="111">
        <v>10000.0</v>
      </c>
      <c r="F69" s="34">
        <f t="shared" si="1"/>
        <v>214351.8</v>
      </c>
      <c r="G69" s="29"/>
      <c r="H69" s="29"/>
      <c r="I69" s="36">
        <f t="shared" si="2"/>
        <v>8506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6"/>
      <c r="B70" s="43"/>
      <c r="C70" s="43"/>
      <c r="D70" s="44"/>
      <c r="E70" s="111"/>
      <c r="F70" s="34">
        <f t="shared" si="1"/>
        <v>214351.8</v>
      </c>
      <c r="G70" s="29"/>
      <c r="H70" s="50"/>
      <c r="I70" s="36">
        <f t="shared" si="2"/>
        <v>8506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6"/>
      <c r="B71" s="43"/>
      <c r="C71" s="43"/>
      <c r="D71" s="44"/>
      <c r="E71" s="113"/>
      <c r="F71" s="34">
        <f t="shared" si="1"/>
        <v>214351.8</v>
      </c>
      <c r="G71" s="29"/>
      <c r="H71" s="50"/>
      <c r="I71" s="36">
        <f t="shared" si="2"/>
        <v>8506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6"/>
      <c r="B72" s="43"/>
      <c r="C72" s="43"/>
      <c r="D72" s="52"/>
      <c r="E72" s="111"/>
      <c r="F72" s="34">
        <f t="shared" si="1"/>
        <v>214351.8</v>
      </c>
      <c r="G72" s="29"/>
      <c r="H72" s="50"/>
      <c r="I72" s="36">
        <f t="shared" si="2"/>
        <v>8506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5"/>
      <c r="B73" s="33"/>
      <c r="C73" s="43"/>
      <c r="D73" s="26"/>
      <c r="E73" s="87"/>
      <c r="F73" s="34">
        <f t="shared" si="1"/>
        <v>214351.8</v>
      </c>
      <c r="G73" s="29"/>
      <c r="H73" s="50"/>
      <c r="I73" s="36">
        <f t="shared" si="2"/>
        <v>8506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5"/>
      <c r="B74" s="33"/>
      <c r="C74" s="43"/>
      <c r="D74" s="26"/>
      <c r="E74" s="84"/>
      <c r="F74" s="34">
        <f t="shared" si="1"/>
        <v>214351.8</v>
      </c>
      <c r="G74" s="29"/>
      <c r="H74" s="50"/>
      <c r="I74" s="36">
        <f t="shared" si="2"/>
        <v>8506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/>
      <c r="B75" s="33"/>
      <c r="C75" s="43"/>
      <c r="D75" s="26"/>
      <c r="E75" s="87"/>
      <c r="F75" s="34">
        <f t="shared" si="1"/>
        <v>214351.8</v>
      </c>
      <c r="G75" s="29"/>
      <c r="H75" s="50"/>
      <c r="I75" s="36">
        <f t="shared" si="2"/>
        <v>8506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/>
      <c r="B76" s="33"/>
      <c r="C76" s="43"/>
      <c r="D76" s="26"/>
      <c r="E76" s="84"/>
      <c r="F76" s="34">
        <f t="shared" si="1"/>
        <v>214351.8</v>
      </c>
      <c r="G76" s="29"/>
      <c r="H76" s="50"/>
      <c r="I76" s="36">
        <f t="shared" si="2"/>
        <v>8506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/>
      <c r="B77" s="33"/>
      <c r="C77" s="43"/>
      <c r="D77" s="26"/>
      <c r="E77" s="84"/>
      <c r="F77" s="34">
        <f t="shared" si="1"/>
        <v>214351.8</v>
      </c>
      <c r="G77" s="50"/>
      <c r="H77" s="50"/>
      <c r="I77" s="36">
        <f t="shared" si="2"/>
        <v>8506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5"/>
      <c r="B78" s="33"/>
      <c r="C78" s="43"/>
      <c r="D78" s="26"/>
      <c r="E78" s="84"/>
      <c r="F78" s="34">
        <f t="shared" si="1"/>
        <v>214351.8</v>
      </c>
      <c r="G78" s="50"/>
      <c r="H78" s="50"/>
      <c r="I78" s="36">
        <f t="shared" si="2"/>
        <v>8506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5"/>
      <c r="B79" s="33"/>
      <c r="C79" s="43"/>
      <c r="D79" s="26"/>
      <c r="E79" s="84"/>
      <c r="F79" s="34">
        <f t="shared" si="1"/>
        <v>214351.8</v>
      </c>
      <c r="G79" s="29"/>
      <c r="H79" s="50"/>
      <c r="I79" s="36">
        <f t="shared" si="2"/>
        <v>8506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/>
      <c r="B80" s="33"/>
      <c r="C80" s="43"/>
      <c r="D80" s="26"/>
      <c r="E80" s="84"/>
      <c r="F80" s="34">
        <f t="shared" si="1"/>
        <v>214351.8</v>
      </c>
      <c r="G80" s="50"/>
      <c r="H80" s="50"/>
      <c r="I80" s="36">
        <f t="shared" si="2"/>
        <v>8506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/>
      <c r="B81" s="33"/>
      <c r="C81" s="43"/>
      <c r="D81" s="26"/>
      <c r="E81" s="84"/>
      <c r="F81" s="34">
        <f t="shared" si="1"/>
        <v>214351.8</v>
      </c>
      <c r="G81" s="29"/>
      <c r="H81" s="50"/>
      <c r="I81" s="36">
        <f t="shared" si="2"/>
        <v>8506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43"/>
      <c r="D82" s="26"/>
      <c r="E82" s="84"/>
      <c r="F82" s="34">
        <f t="shared" si="1"/>
        <v>214351.8</v>
      </c>
      <c r="G82" s="29"/>
      <c r="H82" s="50"/>
      <c r="I82" s="36">
        <f t="shared" si="2"/>
        <v>8506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6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6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6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6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6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3"/>
      <c r="E88" s="6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3"/>
      <c r="E89" s="6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3"/>
      <c r="E90" s="6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3"/>
      <c r="E91" s="6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3"/>
      <c r="E92" s="6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3"/>
      <c r="E93" s="6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3"/>
      <c r="E94" s="6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3"/>
      <c r="E95" s="6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3"/>
      <c r="E96" s="6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3"/>
      <c r="E97" s="6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3"/>
      <c r="E98" s="6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6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6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6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6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6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6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6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6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6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6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6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6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6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6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6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6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6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6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6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6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6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6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6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6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6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6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6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6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6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6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6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6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6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6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6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6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6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6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6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6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6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6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6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6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6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6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6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6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6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6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6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6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6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6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6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6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6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6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6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6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6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6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6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6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6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6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6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6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6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6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6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6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6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6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6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6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6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6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6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6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6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6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6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6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6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6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6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6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6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6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6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6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6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6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6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6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6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6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6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6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6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6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6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6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6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6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6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6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6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6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6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6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6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6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6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6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6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6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6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6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6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6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6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6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6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6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6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6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6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6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6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6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6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6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6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6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6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6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6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6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6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6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6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6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6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6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6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6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6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6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6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6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6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6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6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6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6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6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6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6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6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6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6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6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6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6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6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6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6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6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6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6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6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6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6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6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6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6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6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6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6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6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6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6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6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6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6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6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6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6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6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6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6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6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6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6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6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6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6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6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6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6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6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6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6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6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6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6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6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6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6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6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6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6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6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6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6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6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6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6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6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6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6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6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6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6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6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6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6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6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6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6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6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6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6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6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6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6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6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6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6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6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6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6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6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6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6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6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6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6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6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6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6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6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6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6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6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6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6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6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6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6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6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6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6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6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6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6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6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6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6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6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6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6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6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6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6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6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6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6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6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6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6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6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6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6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6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6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6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6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6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6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6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6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6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6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6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6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6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6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6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6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6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6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6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6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6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6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6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6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6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6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6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6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6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6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6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6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6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6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6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6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6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6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6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6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6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6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6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6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6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6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6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6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6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6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6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6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6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6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6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6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6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6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6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6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6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6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6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6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6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6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6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6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6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6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6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6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6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6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6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6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6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6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6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6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6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6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6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6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6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6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6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6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6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6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6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6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6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6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6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6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6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6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6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6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6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6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6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6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6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6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6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6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6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6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6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6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6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6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6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6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6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6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6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6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6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6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6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6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6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6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6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6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6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6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6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6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6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6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6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6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6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6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6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6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6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6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6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6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6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6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6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6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6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6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6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6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6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6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6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6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6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6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6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6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6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6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6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6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6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6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6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6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6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6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6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6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6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6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6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6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6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6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6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6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6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6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6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6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6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6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6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6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6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6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6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6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6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6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6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6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6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6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6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6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6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6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6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6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6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6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6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6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6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6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6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6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6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6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6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6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6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6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6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6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6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6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6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6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6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6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6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6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6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6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6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6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6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6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6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6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6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6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6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6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6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6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6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6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6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6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6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6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6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6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6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6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6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6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6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6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6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6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6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6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6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6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6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6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6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6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6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6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6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6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6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6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6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6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6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6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6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6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6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6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6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6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6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6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6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6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6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6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6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6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6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6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6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6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6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6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6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6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6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6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6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6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6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6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6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6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6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6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6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6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6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6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6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6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6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6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6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6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6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6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6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6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6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6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6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6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6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6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6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6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6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6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6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6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6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6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6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6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6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6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6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6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6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6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6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6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6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6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6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6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6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6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6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6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6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6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6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6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6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6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6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6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6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6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6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6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6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6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6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6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6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6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6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6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6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6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6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6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6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6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6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6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6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6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6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6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6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6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6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6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6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6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6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6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6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6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6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6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6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6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6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6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6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6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6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6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6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6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6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6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6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6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6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6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6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6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6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6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6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6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6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6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6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6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6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6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6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6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6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6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6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6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6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6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6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6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6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6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6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6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6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6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6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6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6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6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6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6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6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6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6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6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6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6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6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6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6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6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6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6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6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6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6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6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6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6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6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6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6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6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6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6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6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6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6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6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6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6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6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6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6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6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6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6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6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6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6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6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6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6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6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6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6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6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6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6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6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6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6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6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6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6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6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6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6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6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6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6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6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6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6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6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6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6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6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6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6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6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6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6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6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6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6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6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6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6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6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6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6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6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6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6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6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6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6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6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6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6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6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6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6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6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6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6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6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6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6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6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6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6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6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6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6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6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6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6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6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6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6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6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6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6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6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6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6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6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6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6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6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6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6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6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6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6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6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6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6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6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6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6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6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6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6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6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6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6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6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6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6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6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6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6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6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6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6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6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6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6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6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6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6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6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6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6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6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6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6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6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6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6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6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6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6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6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6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6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6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6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6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6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69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69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69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69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69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69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69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69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69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69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69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69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69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69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6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45.38"/>
  </cols>
  <sheetData>
    <row r="1">
      <c r="A1" s="1" t="s">
        <v>602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70"/>
      <c r="B2" s="5"/>
      <c r="C2" s="5"/>
      <c r="D2" s="6" t="s">
        <v>0</v>
      </c>
      <c r="E2" s="2"/>
      <c r="F2" s="7"/>
      <c r="G2" s="8" t="s">
        <v>1</v>
      </c>
      <c r="H2" s="2"/>
      <c r="I2" s="7"/>
      <c r="J2" s="9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1" t="s">
        <v>7</v>
      </c>
      <c r="J3" s="71"/>
      <c r="K3" s="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2"/>
      <c r="B4" s="14"/>
      <c r="C4" s="15" t="s">
        <v>9</v>
      </c>
      <c r="D4" s="16"/>
      <c r="E4" s="115"/>
      <c r="F4" s="73"/>
      <c r="G4" s="19"/>
      <c r="H4" s="19"/>
      <c r="I4" s="74"/>
      <c r="J4" s="75"/>
      <c r="K4" s="76"/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2"/>
      <c r="B5" s="33"/>
      <c r="C5" s="43" t="s">
        <v>9</v>
      </c>
      <c r="D5" s="56">
        <v>214351.8</v>
      </c>
      <c r="E5" s="84"/>
      <c r="F5" s="34">
        <f t="shared" ref="F5:F82" si="1">F4+D5-E5</f>
        <v>214351.8</v>
      </c>
      <c r="G5" s="28"/>
      <c r="H5" s="29"/>
      <c r="I5" s="78">
        <v>8506.0</v>
      </c>
      <c r="J5" s="79"/>
      <c r="K5" s="80"/>
      <c r="L5" s="7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10">
        <v>46055.0</v>
      </c>
      <c r="B6" s="43" t="s">
        <v>63</v>
      </c>
      <c r="C6" s="43" t="s">
        <v>603</v>
      </c>
      <c r="D6" s="111"/>
      <c r="E6" s="111">
        <v>7300.0</v>
      </c>
      <c r="F6" s="34">
        <f t="shared" si="1"/>
        <v>207051.8</v>
      </c>
      <c r="G6" s="28"/>
      <c r="H6" s="50"/>
      <c r="I6" s="36">
        <f t="shared" ref="I6:I82" si="2">I5+G6-H6</f>
        <v>8506</v>
      </c>
      <c r="J6" s="75"/>
      <c r="K6" s="8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10">
        <v>46056.0</v>
      </c>
      <c r="B7" s="43" t="s">
        <v>63</v>
      </c>
      <c r="C7" s="43" t="s">
        <v>604</v>
      </c>
      <c r="D7" s="52"/>
      <c r="E7" s="111">
        <v>65000.0</v>
      </c>
      <c r="F7" s="34">
        <f t="shared" si="1"/>
        <v>142051.8</v>
      </c>
      <c r="G7" s="50"/>
      <c r="H7" s="50"/>
      <c r="I7" s="36">
        <f t="shared" si="2"/>
        <v>8506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10">
        <v>46056.0</v>
      </c>
      <c r="B8" s="43" t="s">
        <v>223</v>
      </c>
      <c r="C8" s="43" t="s">
        <v>605</v>
      </c>
      <c r="D8" s="102">
        <v>200000.0</v>
      </c>
      <c r="E8" s="111"/>
      <c r="F8" s="34">
        <f t="shared" si="1"/>
        <v>342051.8</v>
      </c>
      <c r="G8" s="50"/>
      <c r="H8" s="28"/>
      <c r="I8" s="36">
        <f t="shared" si="2"/>
        <v>8506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0">
        <v>46056.0</v>
      </c>
      <c r="B9" s="43" t="s">
        <v>223</v>
      </c>
      <c r="C9" s="43" t="s">
        <v>606</v>
      </c>
      <c r="D9" s="111"/>
      <c r="E9" s="111">
        <v>10000.0</v>
      </c>
      <c r="F9" s="34">
        <f t="shared" si="1"/>
        <v>332051.8</v>
      </c>
      <c r="G9" s="29"/>
      <c r="H9" s="50"/>
      <c r="I9" s="36">
        <f t="shared" si="2"/>
        <v>8506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0">
        <v>46056.0</v>
      </c>
      <c r="B10" s="43" t="s">
        <v>223</v>
      </c>
      <c r="C10" s="43" t="s">
        <v>607</v>
      </c>
      <c r="D10" s="44"/>
      <c r="E10" s="111"/>
      <c r="F10" s="34">
        <f t="shared" si="1"/>
        <v>332051.8</v>
      </c>
      <c r="G10" s="50"/>
      <c r="H10" s="50">
        <v>1120.0</v>
      </c>
      <c r="I10" s="36">
        <f t="shared" si="2"/>
        <v>7386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0">
        <v>46056.0</v>
      </c>
      <c r="B11" s="43" t="s">
        <v>223</v>
      </c>
      <c r="C11" s="43" t="s">
        <v>608</v>
      </c>
      <c r="D11" s="52">
        <v>1440000.0</v>
      </c>
      <c r="E11" s="111"/>
      <c r="F11" s="34">
        <f t="shared" si="1"/>
        <v>1772051.8</v>
      </c>
      <c r="G11" s="50"/>
      <c r="H11" s="50">
        <v>1000.0</v>
      </c>
      <c r="I11" s="36">
        <f t="shared" si="2"/>
        <v>6386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10">
        <v>46056.0</v>
      </c>
      <c r="B12" s="43" t="s">
        <v>223</v>
      </c>
      <c r="C12" s="139" t="s">
        <v>609</v>
      </c>
      <c r="D12" s="107"/>
      <c r="E12" s="107"/>
      <c r="F12" s="34">
        <f t="shared" si="1"/>
        <v>1772051.8</v>
      </c>
      <c r="G12" s="50">
        <v>400.0</v>
      </c>
      <c r="H12" s="50"/>
      <c r="I12" s="36">
        <f t="shared" si="2"/>
        <v>6786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10">
        <v>46057.0</v>
      </c>
      <c r="B13" s="43" t="s">
        <v>223</v>
      </c>
      <c r="C13" s="43" t="s">
        <v>610</v>
      </c>
      <c r="D13" s="52">
        <v>482625.0</v>
      </c>
      <c r="E13" s="111"/>
      <c r="F13" s="34">
        <f t="shared" si="1"/>
        <v>2254676.8</v>
      </c>
      <c r="G13" s="50"/>
      <c r="H13" s="28"/>
      <c r="I13" s="36">
        <f t="shared" si="2"/>
        <v>6786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10">
        <v>46057.0</v>
      </c>
      <c r="B14" s="43" t="s">
        <v>223</v>
      </c>
      <c r="C14" s="43" t="s">
        <v>611</v>
      </c>
      <c r="D14" s="52"/>
      <c r="E14" s="111"/>
      <c r="F14" s="34">
        <f t="shared" si="1"/>
        <v>2254676.8</v>
      </c>
      <c r="G14" s="28">
        <v>3500.0</v>
      </c>
      <c r="H14" s="50"/>
      <c r="I14" s="36">
        <f t="shared" si="2"/>
        <v>10286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10">
        <v>46057.0</v>
      </c>
      <c r="B15" s="43" t="s">
        <v>223</v>
      </c>
      <c r="C15" s="43" t="s">
        <v>606</v>
      </c>
      <c r="D15" s="52"/>
      <c r="E15" s="52">
        <v>15000.0</v>
      </c>
      <c r="F15" s="34">
        <f t="shared" si="1"/>
        <v>2239676.8</v>
      </c>
      <c r="G15" s="28"/>
      <c r="H15" s="28"/>
      <c r="I15" s="36">
        <f t="shared" si="2"/>
        <v>10286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10">
        <v>46057.0</v>
      </c>
      <c r="B16" s="43" t="s">
        <v>223</v>
      </c>
      <c r="C16" s="43" t="s">
        <v>612</v>
      </c>
      <c r="D16" s="52">
        <v>147800.0</v>
      </c>
      <c r="E16" s="111"/>
      <c r="F16" s="34">
        <f t="shared" si="1"/>
        <v>2387476.8</v>
      </c>
      <c r="G16" s="50"/>
      <c r="H16" s="50"/>
      <c r="I16" s="36">
        <f t="shared" si="2"/>
        <v>10286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10">
        <v>46058.0</v>
      </c>
      <c r="B17" s="43" t="s">
        <v>63</v>
      </c>
      <c r="C17" s="43" t="s">
        <v>613</v>
      </c>
      <c r="D17" s="111"/>
      <c r="E17" s="111">
        <v>1100000.0</v>
      </c>
      <c r="F17" s="34">
        <f t="shared" si="1"/>
        <v>1287476.8</v>
      </c>
      <c r="G17" s="50"/>
      <c r="H17" s="50"/>
      <c r="I17" s="36">
        <f t="shared" si="2"/>
        <v>10286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10">
        <v>46058.0</v>
      </c>
      <c r="B18" s="43" t="s">
        <v>63</v>
      </c>
      <c r="C18" s="43" t="s">
        <v>614</v>
      </c>
      <c r="D18" s="52">
        <v>2880000.0</v>
      </c>
      <c r="E18" s="111"/>
      <c r="F18" s="34">
        <f t="shared" si="1"/>
        <v>4167476.8</v>
      </c>
      <c r="G18" s="54"/>
      <c r="H18" s="50">
        <v>2000.0</v>
      </c>
      <c r="I18" s="36">
        <f t="shared" si="2"/>
        <v>8286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10">
        <v>46058.0</v>
      </c>
      <c r="B19" s="43" t="s">
        <v>63</v>
      </c>
      <c r="C19" s="43" t="s">
        <v>411</v>
      </c>
      <c r="D19" s="111"/>
      <c r="E19" s="111"/>
      <c r="F19" s="34">
        <f t="shared" si="1"/>
        <v>4167476.8</v>
      </c>
      <c r="G19" s="50"/>
      <c r="H19" s="50">
        <v>2100.0</v>
      </c>
      <c r="I19" s="36">
        <f t="shared" si="2"/>
        <v>6186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10">
        <v>46058.0</v>
      </c>
      <c r="B20" s="43" t="s">
        <v>63</v>
      </c>
      <c r="C20" s="43" t="s">
        <v>409</v>
      </c>
      <c r="D20" s="111"/>
      <c r="E20" s="111"/>
      <c r="F20" s="34">
        <f t="shared" si="1"/>
        <v>4167476.8</v>
      </c>
      <c r="G20" s="50"/>
      <c r="H20" s="54">
        <v>2500.0</v>
      </c>
      <c r="I20" s="36">
        <f t="shared" si="2"/>
        <v>3686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10">
        <v>46058.0</v>
      </c>
      <c r="B21" s="43" t="s">
        <v>63</v>
      </c>
      <c r="C21" s="43" t="s">
        <v>355</v>
      </c>
      <c r="D21" s="52"/>
      <c r="E21" s="111"/>
      <c r="F21" s="34">
        <f t="shared" si="1"/>
        <v>4167476.8</v>
      </c>
      <c r="G21" s="54"/>
      <c r="H21" s="54">
        <v>2500.0</v>
      </c>
      <c r="I21" s="36">
        <f t="shared" si="2"/>
        <v>1186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10">
        <v>46058.0</v>
      </c>
      <c r="B22" s="43" t="s">
        <v>63</v>
      </c>
      <c r="C22" s="43" t="s">
        <v>302</v>
      </c>
      <c r="D22" s="52"/>
      <c r="E22" s="111">
        <v>963230.0</v>
      </c>
      <c r="F22" s="34">
        <f t="shared" si="1"/>
        <v>3204246.8</v>
      </c>
      <c r="G22" s="29"/>
      <c r="H22" s="50"/>
      <c r="I22" s="36">
        <f t="shared" si="2"/>
        <v>1186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10">
        <v>46058.0</v>
      </c>
      <c r="B23" s="43" t="s">
        <v>63</v>
      </c>
      <c r="C23" s="43" t="s">
        <v>513</v>
      </c>
      <c r="D23" s="52"/>
      <c r="E23" s="111">
        <v>963230.0</v>
      </c>
      <c r="F23" s="34">
        <f t="shared" si="1"/>
        <v>2241016.8</v>
      </c>
      <c r="G23" s="50"/>
      <c r="H23" s="28"/>
      <c r="I23" s="36">
        <f t="shared" si="2"/>
        <v>1186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10">
        <v>46058.0</v>
      </c>
      <c r="B24" s="43" t="s">
        <v>63</v>
      </c>
      <c r="C24" s="43" t="s">
        <v>514</v>
      </c>
      <c r="D24" s="52"/>
      <c r="E24" s="52">
        <v>1275598.0</v>
      </c>
      <c r="F24" s="34">
        <f t="shared" si="1"/>
        <v>965418.8</v>
      </c>
      <c r="G24" s="29"/>
      <c r="H24" s="50"/>
      <c r="I24" s="36">
        <f t="shared" si="2"/>
        <v>1186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10">
        <v>46059.0</v>
      </c>
      <c r="B25" s="43" t="s">
        <v>63</v>
      </c>
      <c r="C25" s="43" t="s">
        <v>615</v>
      </c>
      <c r="D25" s="52"/>
      <c r="E25" s="111">
        <v>7650.0</v>
      </c>
      <c r="F25" s="34">
        <f t="shared" si="1"/>
        <v>957768.8</v>
      </c>
      <c r="G25" s="50"/>
      <c r="H25" s="50"/>
      <c r="I25" s="36">
        <f t="shared" si="2"/>
        <v>1186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10">
        <v>46059.0</v>
      </c>
      <c r="B26" s="43" t="s">
        <v>63</v>
      </c>
      <c r="C26" s="43" t="s">
        <v>108</v>
      </c>
      <c r="D26" s="111"/>
      <c r="E26" s="111">
        <v>15500.0</v>
      </c>
      <c r="F26" s="34">
        <f t="shared" si="1"/>
        <v>942268.8</v>
      </c>
      <c r="G26" s="50"/>
      <c r="H26" s="28"/>
      <c r="I26" s="36">
        <f t="shared" si="2"/>
        <v>1186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10">
        <v>46059.0</v>
      </c>
      <c r="B27" s="43" t="s">
        <v>223</v>
      </c>
      <c r="C27" s="43" t="s">
        <v>572</v>
      </c>
      <c r="D27" s="111"/>
      <c r="E27" s="111">
        <v>600000.0</v>
      </c>
      <c r="F27" s="34">
        <f t="shared" si="1"/>
        <v>342268.8</v>
      </c>
      <c r="G27" s="50"/>
      <c r="H27" s="50"/>
      <c r="I27" s="36">
        <f t="shared" si="2"/>
        <v>1186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10">
        <v>46059.0</v>
      </c>
      <c r="B28" s="43" t="s">
        <v>63</v>
      </c>
      <c r="C28" s="43" t="s">
        <v>616</v>
      </c>
      <c r="D28" s="44"/>
      <c r="E28" s="111">
        <v>260000.0</v>
      </c>
      <c r="F28" s="34">
        <f t="shared" si="1"/>
        <v>82268.8</v>
      </c>
      <c r="G28" s="50"/>
      <c r="H28" s="50"/>
      <c r="I28" s="36">
        <f t="shared" si="2"/>
        <v>1186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10">
        <v>46059.0</v>
      </c>
      <c r="B29" s="43" t="s">
        <v>223</v>
      </c>
      <c r="C29" s="43" t="s">
        <v>617</v>
      </c>
      <c r="D29" s="111"/>
      <c r="E29" s="111"/>
      <c r="F29" s="34">
        <f t="shared" si="1"/>
        <v>82268.8</v>
      </c>
      <c r="G29" s="50">
        <v>5000.0</v>
      </c>
      <c r="H29" s="50"/>
      <c r="I29" s="36">
        <f t="shared" si="2"/>
        <v>6186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10">
        <v>46059.0</v>
      </c>
      <c r="B30" s="43" t="s">
        <v>63</v>
      </c>
      <c r="C30" s="43" t="s">
        <v>403</v>
      </c>
      <c r="D30" s="111"/>
      <c r="E30" s="111"/>
      <c r="F30" s="34">
        <f t="shared" si="1"/>
        <v>82268.8</v>
      </c>
      <c r="G30" s="50"/>
      <c r="H30" s="50">
        <v>2500.0</v>
      </c>
      <c r="I30" s="36">
        <f t="shared" si="2"/>
        <v>3686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10">
        <v>46059.0</v>
      </c>
      <c r="B31" s="43" t="s">
        <v>63</v>
      </c>
      <c r="C31" s="43" t="s">
        <v>618</v>
      </c>
      <c r="D31" s="111"/>
      <c r="E31" s="111"/>
      <c r="F31" s="34">
        <f t="shared" si="1"/>
        <v>82268.8</v>
      </c>
      <c r="G31" s="50"/>
      <c r="H31" s="28">
        <v>2000.0</v>
      </c>
      <c r="I31" s="36">
        <f t="shared" si="2"/>
        <v>1686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10">
        <v>46059.0</v>
      </c>
      <c r="B32" s="43" t="s">
        <v>63</v>
      </c>
      <c r="C32" s="43" t="s">
        <v>619</v>
      </c>
      <c r="D32" s="52"/>
      <c r="E32" s="111"/>
      <c r="F32" s="34">
        <f t="shared" si="1"/>
        <v>82268.8</v>
      </c>
      <c r="G32" s="50"/>
      <c r="H32" s="50"/>
      <c r="I32" s="36">
        <f t="shared" si="2"/>
        <v>1686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10">
        <v>46059.0</v>
      </c>
      <c r="B33" s="43" t="s">
        <v>223</v>
      </c>
      <c r="C33" s="43" t="s">
        <v>620</v>
      </c>
      <c r="D33" s="102"/>
      <c r="E33" s="111">
        <v>25550.0</v>
      </c>
      <c r="F33" s="34">
        <f t="shared" si="1"/>
        <v>56718.8</v>
      </c>
      <c r="G33" s="50"/>
      <c r="H33" s="28">
        <v>750.0</v>
      </c>
      <c r="I33" s="36">
        <f t="shared" si="2"/>
        <v>936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1">
        <v>46059.0</v>
      </c>
      <c r="B34" s="43" t="s">
        <v>223</v>
      </c>
      <c r="C34" s="43" t="s">
        <v>621</v>
      </c>
      <c r="D34" s="111">
        <v>383980.0</v>
      </c>
      <c r="E34" s="111"/>
      <c r="F34" s="34">
        <f t="shared" si="1"/>
        <v>440698.8</v>
      </c>
      <c r="G34" s="50"/>
      <c r="H34" s="50"/>
      <c r="I34" s="36">
        <f t="shared" si="2"/>
        <v>936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1">
        <v>46062.0</v>
      </c>
      <c r="B35" s="43" t="s">
        <v>63</v>
      </c>
      <c r="C35" s="43" t="s">
        <v>622</v>
      </c>
      <c r="D35" s="52"/>
      <c r="E35" s="111">
        <v>350000.0</v>
      </c>
      <c r="F35" s="92">
        <f t="shared" si="1"/>
        <v>90698.8</v>
      </c>
      <c r="G35" s="54"/>
      <c r="H35" s="54"/>
      <c r="I35" s="93">
        <f t="shared" si="2"/>
        <v>936</v>
      </c>
      <c r="J35" s="60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>
      <c r="A36" s="91">
        <v>46062.0</v>
      </c>
      <c r="B36" s="43" t="s">
        <v>223</v>
      </c>
      <c r="C36" s="43" t="s">
        <v>623</v>
      </c>
      <c r="D36" s="52">
        <v>378200.0</v>
      </c>
      <c r="E36" s="111"/>
      <c r="F36" s="34">
        <f t="shared" si="1"/>
        <v>468898.8</v>
      </c>
      <c r="G36" s="50"/>
      <c r="H36" s="50"/>
      <c r="I36" s="36">
        <f t="shared" si="2"/>
        <v>936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1">
        <v>46063.0</v>
      </c>
      <c r="B37" s="43" t="s">
        <v>223</v>
      </c>
      <c r="C37" s="43" t="s">
        <v>624</v>
      </c>
      <c r="D37" s="52">
        <v>8730.0</v>
      </c>
      <c r="E37" s="111"/>
      <c r="F37" s="34">
        <f t="shared" si="1"/>
        <v>477628.8</v>
      </c>
      <c r="G37" s="28">
        <v>160.0</v>
      </c>
      <c r="H37" s="50"/>
      <c r="I37" s="36">
        <f t="shared" si="2"/>
        <v>1096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1">
        <v>46063.0</v>
      </c>
      <c r="B38" s="43" t="s">
        <v>223</v>
      </c>
      <c r="C38" s="43" t="s">
        <v>625</v>
      </c>
      <c r="D38" s="52"/>
      <c r="E38" s="111"/>
      <c r="F38" s="34">
        <f t="shared" si="1"/>
        <v>477628.8</v>
      </c>
      <c r="G38" s="50">
        <v>3500.0</v>
      </c>
      <c r="H38" s="28"/>
      <c r="I38" s="36">
        <f t="shared" si="2"/>
        <v>4596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1">
        <v>46063.0</v>
      </c>
      <c r="B39" s="43" t="s">
        <v>223</v>
      </c>
      <c r="C39" s="43" t="s">
        <v>626</v>
      </c>
      <c r="D39" s="111">
        <v>87300.0</v>
      </c>
      <c r="E39" s="111"/>
      <c r="F39" s="34">
        <f t="shared" si="1"/>
        <v>564928.8</v>
      </c>
      <c r="G39" s="50">
        <v>220.0</v>
      </c>
      <c r="H39" s="50"/>
      <c r="I39" s="36">
        <f t="shared" si="2"/>
        <v>4816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1">
        <v>46063.0</v>
      </c>
      <c r="B40" s="126" t="s">
        <v>63</v>
      </c>
      <c r="C40" s="43" t="s">
        <v>627</v>
      </c>
      <c r="D40" s="89"/>
      <c r="E40" s="111">
        <v>96013.0</v>
      </c>
      <c r="F40" s="92">
        <f t="shared" si="1"/>
        <v>468915.8</v>
      </c>
      <c r="G40" s="54"/>
      <c r="H40" s="97"/>
      <c r="I40" s="98">
        <f t="shared" si="2"/>
        <v>4816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>
      <c r="A41" s="91">
        <v>46063.0</v>
      </c>
      <c r="B41" s="43" t="s">
        <v>223</v>
      </c>
      <c r="C41" s="103" t="s">
        <v>337</v>
      </c>
      <c r="D41" s="102">
        <v>1410000.0</v>
      </c>
      <c r="E41" s="111"/>
      <c r="F41" s="34">
        <f t="shared" si="1"/>
        <v>1878915.8</v>
      </c>
      <c r="G41" s="28"/>
      <c r="H41" s="28">
        <v>1000.0</v>
      </c>
      <c r="I41" s="36">
        <f t="shared" si="2"/>
        <v>3816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1">
        <v>46063.0</v>
      </c>
      <c r="B42" s="43" t="s">
        <v>223</v>
      </c>
      <c r="C42" s="43" t="s">
        <v>628</v>
      </c>
      <c r="D42" s="52"/>
      <c r="E42" s="52">
        <v>1142440.0</v>
      </c>
      <c r="F42" s="34">
        <f t="shared" si="1"/>
        <v>736475.8</v>
      </c>
      <c r="G42" s="50"/>
      <c r="H42" s="50"/>
      <c r="I42" s="36">
        <f t="shared" si="2"/>
        <v>3816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1">
        <v>46063.0</v>
      </c>
      <c r="B43" s="43" t="s">
        <v>223</v>
      </c>
      <c r="C43" s="43" t="s">
        <v>629</v>
      </c>
      <c r="D43" s="52"/>
      <c r="E43" s="111">
        <v>500000.0</v>
      </c>
      <c r="F43" s="34">
        <f t="shared" si="1"/>
        <v>236475.8</v>
      </c>
      <c r="G43" s="50"/>
      <c r="H43" s="50"/>
      <c r="I43" s="36">
        <f t="shared" si="2"/>
        <v>3816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1">
        <v>46063.0</v>
      </c>
      <c r="B44" s="43" t="s">
        <v>223</v>
      </c>
      <c r="C44" s="43" t="s">
        <v>630</v>
      </c>
      <c r="D44" s="52">
        <v>561000.0</v>
      </c>
      <c r="E44" s="52"/>
      <c r="F44" s="34">
        <f t="shared" si="1"/>
        <v>797475.8</v>
      </c>
      <c r="G44" s="50"/>
      <c r="H44" s="50"/>
      <c r="I44" s="36">
        <f t="shared" si="2"/>
        <v>3816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1">
        <v>46063.0</v>
      </c>
      <c r="B45" s="43" t="s">
        <v>223</v>
      </c>
      <c r="C45" s="43" t="s">
        <v>631</v>
      </c>
      <c r="D45" s="111">
        <v>710000.0</v>
      </c>
      <c r="E45" s="111"/>
      <c r="F45" s="34">
        <f t="shared" si="1"/>
        <v>1507475.8</v>
      </c>
      <c r="G45" s="29"/>
      <c r="H45" s="50"/>
      <c r="I45" s="36">
        <f t="shared" si="2"/>
        <v>3816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1">
        <v>46063.0</v>
      </c>
      <c r="B46" s="43" t="s">
        <v>223</v>
      </c>
      <c r="C46" s="43" t="s">
        <v>632</v>
      </c>
      <c r="D46" s="52"/>
      <c r="E46" s="111"/>
      <c r="F46" s="34">
        <f t="shared" si="1"/>
        <v>1507475.8</v>
      </c>
      <c r="G46" s="50">
        <v>750.0</v>
      </c>
      <c r="H46" s="50"/>
      <c r="I46" s="36">
        <f t="shared" si="2"/>
        <v>4566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1">
        <v>46063.0</v>
      </c>
      <c r="B47" s="43" t="s">
        <v>223</v>
      </c>
      <c r="C47" s="43" t="s">
        <v>633</v>
      </c>
      <c r="D47" s="52">
        <v>523800.0</v>
      </c>
      <c r="E47" s="111"/>
      <c r="F47" s="34">
        <f t="shared" si="1"/>
        <v>2031275.8</v>
      </c>
      <c r="G47" s="50"/>
      <c r="H47" s="50"/>
      <c r="I47" s="36">
        <f t="shared" si="2"/>
        <v>4566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1">
        <v>46064.0</v>
      </c>
      <c r="B48" s="43" t="s">
        <v>223</v>
      </c>
      <c r="C48" s="43" t="s">
        <v>634</v>
      </c>
      <c r="D48" s="111"/>
      <c r="E48" s="111"/>
      <c r="F48" s="34">
        <f t="shared" si="1"/>
        <v>2031275.8</v>
      </c>
      <c r="G48" s="29"/>
      <c r="H48" s="50">
        <v>540.0</v>
      </c>
      <c r="I48" s="36">
        <f t="shared" si="2"/>
        <v>4026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1">
        <v>46064.0</v>
      </c>
      <c r="B49" s="43" t="s">
        <v>223</v>
      </c>
      <c r="C49" s="43" t="s">
        <v>635</v>
      </c>
      <c r="D49" s="52"/>
      <c r="E49" s="111"/>
      <c r="F49" s="34">
        <f t="shared" si="1"/>
        <v>2031275.8</v>
      </c>
      <c r="G49" s="50">
        <v>300.0</v>
      </c>
      <c r="H49" s="50"/>
      <c r="I49" s="36">
        <f t="shared" si="2"/>
        <v>4326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1">
        <v>46064.0</v>
      </c>
      <c r="B50" s="43" t="s">
        <v>223</v>
      </c>
      <c r="C50" s="43" t="s">
        <v>636</v>
      </c>
      <c r="D50" s="52">
        <v>712500.0</v>
      </c>
      <c r="E50" s="111"/>
      <c r="F50" s="34">
        <f t="shared" si="1"/>
        <v>2743775.8</v>
      </c>
      <c r="G50" s="50"/>
      <c r="H50" s="50">
        <v>500.0</v>
      </c>
      <c r="I50" s="36">
        <f t="shared" si="2"/>
        <v>3826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1">
        <v>46064.0</v>
      </c>
      <c r="B51" s="43" t="s">
        <v>63</v>
      </c>
      <c r="C51" s="43" t="s">
        <v>637</v>
      </c>
      <c r="D51" s="44"/>
      <c r="E51" s="111">
        <v>2000.0</v>
      </c>
      <c r="F51" s="34">
        <f t="shared" si="1"/>
        <v>2741775.8</v>
      </c>
      <c r="G51" s="50"/>
      <c r="H51" s="50"/>
      <c r="I51" s="36">
        <f t="shared" si="2"/>
        <v>3826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1">
        <v>46064.0</v>
      </c>
      <c r="B52" s="43" t="s">
        <v>223</v>
      </c>
      <c r="C52" s="43" t="s">
        <v>638</v>
      </c>
      <c r="D52" s="52">
        <v>406000.0</v>
      </c>
      <c r="E52" s="111"/>
      <c r="F52" s="34">
        <f t="shared" si="1"/>
        <v>3147775.8</v>
      </c>
      <c r="G52" s="50"/>
      <c r="H52" s="29"/>
      <c r="I52" s="36">
        <f t="shared" si="2"/>
        <v>3826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6">
        <v>46065.0</v>
      </c>
      <c r="B53" s="43" t="s">
        <v>223</v>
      </c>
      <c r="C53" s="43" t="s">
        <v>639</v>
      </c>
      <c r="D53" s="52"/>
      <c r="E53" s="111">
        <v>480000.0</v>
      </c>
      <c r="F53" s="34">
        <f t="shared" si="1"/>
        <v>2667775.8</v>
      </c>
      <c r="G53" s="50"/>
      <c r="H53" s="50"/>
      <c r="I53" s="36">
        <f t="shared" si="2"/>
        <v>3826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6">
        <v>46066.0</v>
      </c>
      <c r="B54" s="43" t="s">
        <v>63</v>
      </c>
      <c r="C54" s="43" t="s">
        <v>640</v>
      </c>
      <c r="D54" s="52"/>
      <c r="E54" s="111">
        <v>1138000.0</v>
      </c>
      <c r="F54" s="34">
        <f t="shared" si="1"/>
        <v>1529775.8</v>
      </c>
      <c r="G54" s="50"/>
      <c r="H54" s="50"/>
      <c r="I54" s="36">
        <f t="shared" si="2"/>
        <v>3826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6">
        <v>46066.0</v>
      </c>
      <c r="B55" s="43" t="s">
        <v>63</v>
      </c>
      <c r="C55" s="43" t="s">
        <v>641</v>
      </c>
      <c r="D55" s="52"/>
      <c r="E55" s="111">
        <v>145000.0</v>
      </c>
      <c r="F55" s="34">
        <f t="shared" si="1"/>
        <v>1384775.8</v>
      </c>
      <c r="G55" s="29"/>
      <c r="H55" s="50"/>
      <c r="I55" s="36">
        <f t="shared" si="2"/>
        <v>3826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6">
        <v>46066.0</v>
      </c>
      <c r="B56" s="43" t="s">
        <v>223</v>
      </c>
      <c r="C56" s="43" t="s">
        <v>572</v>
      </c>
      <c r="D56" s="44"/>
      <c r="E56" s="111">
        <v>800000.0</v>
      </c>
      <c r="F56" s="34">
        <f t="shared" si="1"/>
        <v>584775.8</v>
      </c>
      <c r="G56" s="50"/>
      <c r="H56" s="29"/>
      <c r="I56" s="36">
        <f t="shared" si="2"/>
        <v>3826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6">
        <v>46066.0</v>
      </c>
      <c r="B57" s="43" t="s">
        <v>63</v>
      </c>
      <c r="C57" s="43" t="s">
        <v>642</v>
      </c>
      <c r="D57" s="52"/>
      <c r="E57" s="111">
        <v>8367.0</v>
      </c>
      <c r="F57" s="34">
        <f t="shared" si="1"/>
        <v>576408.8</v>
      </c>
      <c r="G57" s="50"/>
      <c r="H57" s="35"/>
      <c r="I57" s="36">
        <f t="shared" si="2"/>
        <v>3826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6">
        <v>46066.0</v>
      </c>
      <c r="B58" s="43" t="s">
        <v>63</v>
      </c>
      <c r="C58" s="43" t="s">
        <v>643</v>
      </c>
      <c r="D58" s="52"/>
      <c r="E58" s="111">
        <v>8367.0</v>
      </c>
      <c r="F58" s="34">
        <f t="shared" si="1"/>
        <v>568041.8</v>
      </c>
      <c r="G58" s="50"/>
      <c r="H58" s="50"/>
      <c r="I58" s="36">
        <f t="shared" si="2"/>
        <v>3826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6">
        <v>46066.0</v>
      </c>
      <c r="B59" s="43" t="s">
        <v>63</v>
      </c>
      <c r="C59" s="43" t="s">
        <v>644</v>
      </c>
      <c r="D59" s="52"/>
      <c r="E59" s="111">
        <v>35000.0</v>
      </c>
      <c r="F59" s="34">
        <f t="shared" si="1"/>
        <v>533041.8</v>
      </c>
      <c r="G59" s="50"/>
      <c r="H59" s="50"/>
      <c r="I59" s="36">
        <f t="shared" si="2"/>
        <v>3826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6">
        <v>46066.0</v>
      </c>
      <c r="B60" s="43" t="s">
        <v>223</v>
      </c>
      <c r="C60" s="43" t="s">
        <v>645</v>
      </c>
      <c r="D60" s="52">
        <v>390472.0</v>
      </c>
      <c r="E60" s="111"/>
      <c r="F60" s="34">
        <f t="shared" si="1"/>
        <v>923513.8</v>
      </c>
      <c r="G60" s="50"/>
      <c r="H60" s="50"/>
      <c r="I60" s="36">
        <f t="shared" si="2"/>
        <v>3826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6">
        <v>46066.0</v>
      </c>
      <c r="B61" s="43" t="s">
        <v>63</v>
      </c>
      <c r="C61" s="43" t="s">
        <v>646</v>
      </c>
      <c r="D61" s="44"/>
      <c r="E61" s="111">
        <v>6000.0</v>
      </c>
      <c r="F61" s="34">
        <f t="shared" si="1"/>
        <v>917513.8</v>
      </c>
      <c r="G61" s="50"/>
      <c r="H61" s="50"/>
      <c r="I61" s="36">
        <f t="shared" si="2"/>
        <v>3826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6">
        <v>46066.0</v>
      </c>
      <c r="B62" s="43" t="s">
        <v>63</v>
      </c>
      <c r="C62" s="43" t="s">
        <v>647</v>
      </c>
      <c r="D62" s="111"/>
      <c r="E62" s="111">
        <v>10000.0</v>
      </c>
      <c r="F62" s="34">
        <f t="shared" si="1"/>
        <v>907513.8</v>
      </c>
      <c r="G62" s="29"/>
      <c r="H62" s="50"/>
      <c r="I62" s="36">
        <f t="shared" si="2"/>
        <v>3826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6">
        <v>46071.0</v>
      </c>
      <c r="B63" s="127" t="s">
        <v>223</v>
      </c>
      <c r="C63" s="127" t="s">
        <v>228</v>
      </c>
      <c r="D63" s="52"/>
      <c r="E63" s="111"/>
      <c r="F63" s="34">
        <f t="shared" si="1"/>
        <v>907513.8</v>
      </c>
      <c r="G63" s="50"/>
      <c r="H63" s="50">
        <v>3380.0</v>
      </c>
      <c r="I63" s="36">
        <f t="shared" si="2"/>
        <v>446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6">
        <v>46071.0</v>
      </c>
      <c r="B64" s="43" t="s">
        <v>223</v>
      </c>
      <c r="C64" s="43" t="s">
        <v>337</v>
      </c>
      <c r="D64" s="52">
        <v>277770.0</v>
      </c>
      <c r="E64" s="111"/>
      <c r="F64" s="34">
        <f t="shared" si="1"/>
        <v>1185283.8</v>
      </c>
      <c r="G64" s="28"/>
      <c r="H64" s="50">
        <v>200.0</v>
      </c>
      <c r="I64" s="36">
        <f t="shared" si="2"/>
        <v>246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6">
        <v>46071.0</v>
      </c>
      <c r="B65" s="43" t="s">
        <v>63</v>
      </c>
      <c r="C65" s="43" t="s">
        <v>648</v>
      </c>
      <c r="D65" s="44"/>
      <c r="E65" s="111">
        <v>700000.0</v>
      </c>
      <c r="F65" s="34">
        <f t="shared" si="1"/>
        <v>485283.8</v>
      </c>
      <c r="G65" s="28"/>
      <c r="H65" s="50"/>
      <c r="I65" s="36">
        <f t="shared" si="2"/>
        <v>246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6">
        <v>46071.0</v>
      </c>
      <c r="B66" s="43" t="s">
        <v>223</v>
      </c>
      <c r="C66" s="43" t="s">
        <v>345</v>
      </c>
      <c r="D66" s="52"/>
      <c r="E66" s="111">
        <v>10500.0</v>
      </c>
      <c r="F66" s="34">
        <f t="shared" si="1"/>
        <v>474783.8</v>
      </c>
      <c r="G66" s="38"/>
      <c r="H66" s="50"/>
      <c r="I66" s="36">
        <f t="shared" si="2"/>
        <v>246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6">
        <v>46071.0</v>
      </c>
      <c r="B67" s="43" t="s">
        <v>63</v>
      </c>
      <c r="C67" s="43" t="s">
        <v>649</v>
      </c>
      <c r="D67" s="44"/>
      <c r="E67" s="111">
        <v>7000.0</v>
      </c>
      <c r="F67" s="34">
        <f t="shared" si="1"/>
        <v>467783.8</v>
      </c>
      <c r="G67" s="38"/>
      <c r="H67" s="29"/>
      <c r="I67" s="36">
        <f t="shared" si="2"/>
        <v>246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6">
        <v>46072.0</v>
      </c>
      <c r="B68" s="43" t="s">
        <v>223</v>
      </c>
      <c r="C68" s="43" t="s">
        <v>617</v>
      </c>
      <c r="D68" s="52"/>
      <c r="E68" s="111"/>
      <c r="F68" s="34">
        <f t="shared" si="1"/>
        <v>467783.8</v>
      </c>
      <c r="G68" s="28">
        <v>2000.0</v>
      </c>
      <c r="H68" s="29"/>
      <c r="I68" s="36">
        <f t="shared" si="2"/>
        <v>2246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6">
        <v>46072.0</v>
      </c>
      <c r="B69" s="43" t="s">
        <v>223</v>
      </c>
      <c r="C69" s="43" t="s">
        <v>650</v>
      </c>
      <c r="D69" s="52">
        <v>564000.0</v>
      </c>
      <c r="E69" s="111"/>
      <c r="F69" s="34">
        <f t="shared" si="1"/>
        <v>1031783.8</v>
      </c>
      <c r="G69" s="29"/>
      <c r="H69" s="50">
        <v>400.0</v>
      </c>
      <c r="I69" s="36">
        <f t="shared" si="2"/>
        <v>1846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6">
        <v>46072.0</v>
      </c>
      <c r="B70" s="43" t="s">
        <v>223</v>
      </c>
      <c r="C70" s="43" t="s">
        <v>651</v>
      </c>
      <c r="D70" s="44"/>
      <c r="E70" s="111">
        <v>400000.0</v>
      </c>
      <c r="F70" s="34">
        <f t="shared" si="1"/>
        <v>631783.8</v>
      </c>
      <c r="G70" s="29"/>
      <c r="H70" s="50"/>
      <c r="I70" s="36">
        <f t="shared" si="2"/>
        <v>1846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6">
        <v>46072.0</v>
      </c>
      <c r="B71" s="43" t="s">
        <v>223</v>
      </c>
      <c r="C71" s="43" t="s">
        <v>652</v>
      </c>
      <c r="D71" s="52">
        <v>507500.0</v>
      </c>
      <c r="E71" s="113"/>
      <c r="F71" s="34">
        <f t="shared" si="1"/>
        <v>1139283.8</v>
      </c>
      <c r="G71" s="29"/>
      <c r="H71" s="50"/>
      <c r="I71" s="36">
        <f t="shared" si="2"/>
        <v>1846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6">
        <v>46072.0</v>
      </c>
      <c r="B72" s="43" t="s">
        <v>223</v>
      </c>
      <c r="C72" s="43" t="s">
        <v>653</v>
      </c>
      <c r="D72" s="52"/>
      <c r="E72" s="111"/>
      <c r="F72" s="34">
        <f t="shared" si="1"/>
        <v>1139283.8</v>
      </c>
      <c r="G72" s="50"/>
      <c r="H72" s="50">
        <v>1450.0</v>
      </c>
      <c r="I72" s="36">
        <f t="shared" si="2"/>
        <v>396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6"/>
      <c r="B73" s="33"/>
      <c r="C73" s="43"/>
      <c r="D73" s="26"/>
      <c r="E73" s="87"/>
      <c r="F73" s="34">
        <f t="shared" si="1"/>
        <v>1139283.8</v>
      </c>
      <c r="G73" s="29"/>
      <c r="H73" s="50"/>
      <c r="I73" s="36">
        <f t="shared" si="2"/>
        <v>396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6"/>
      <c r="B74" s="33"/>
      <c r="C74" s="43"/>
      <c r="D74" s="26"/>
      <c r="E74" s="84"/>
      <c r="F74" s="34">
        <f t="shared" si="1"/>
        <v>1139283.8</v>
      </c>
      <c r="G74" s="29"/>
      <c r="H74" s="50"/>
      <c r="I74" s="36">
        <f t="shared" si="2"/>
        <v>396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5"/>
      <c r="B75" s="33"/>
      <c r="C75" s="43"/>
      <c r="D75" s="26"/>
      <c r="E75" s="87"/>
      <c r="F75" s="34">
        <f t="shared" si="1"/>
        <v>1139283.8</v>
      </c>
      <c r="G75" s="29"/>
      <c r="H75" s="50"/>
      <c r="I75" s="36">
        <f t="shared" si="2"/>
        <v>396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5"/>
      <c r="B76" s="33"/>
      <c r="C76" s="43"/>
      <c r="D76" s="26"/>
      <c r="E76" s="84"/>
      <c r="F76" s="34">
        <f t="shared" si="1"/>
        <v>1139283.8</v>
      </c>
      <c r="G76" s="29"/>
      <c r="H76" s="50"/>
      <c r="I76" s="36">
        <f t="shared" si="2"/>
        <v>396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5"/>
      <c r="B77" s="33"/>
      <c r="C77" s="43"/>
      <c r="D77" s="26"/>
      <c r="E77" s="84"/>
      <c r="F77" s="34">
        <f t="shared" si="1"/>
        <v>1139283.8</v>
      </c>
      <c r="G77" s="50"/>
      <c r="H77" s="50"/>
      <c r="I77" s="36">
        <f t="shared" si="2"/>
        <v>396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5"/>
      <c r="B78" s="33"/>
      <c r="C78" s="43"/>
      <c r="D78" s="26"/>
      <c r="E78" s="84"/>
      <c r="F78" s="34">
        <f t="shared" si="1"/>
        <v>1139283.8</v>
      </c>
      <c r="G78" s="50"/>
      <c r="H78" s="50"/>
      <c r="I78" s="36">
        <f t="shared" si="2"/>
        <v>396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5"/>
      <c r="B79" s="33"/>
      <c r="C79" s="43"/>
      <c r="D79" s="26"/>
      <c r="E79" s="84"/>
      <c r="F79" s="34">
        <f t="shared" si="1"/>
        <v>1139283.8</v>
      </c>
      <c r="G79" s="29"/>
      <c r="H79" s="50"/>
      <c r="I79" s="36">
        <f t="shared" si="2"/>
        <v>396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5"/>
      <c r="B80" s="33"/>
      <c r="C80" s="43"/>
      <c r="D80" s="26"/>
      <c r="E80" s="84"/>
      <c r="F80" s="34">
        <f t="shared" si="1"/>
        <v>1139283.8</v>
      </c>
      <c r="G80" s="50"/>
      <c r="H80" s="50"/>
      <c r="I80" s="36">
        <f t="shared" si="2"/>
        <v>396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5"/>
      <c r="B81" s="33"/>
      <c r="C81" s="43"/>
      <c r="D81" s="26"/>
      <c r="E81" s="84"/>
      <c r="F81" s="34">
        <f t="shared" si="1"/>
        <v>1139283.8</v>
      </c>
      <c r="G81" s="29"/>
      <c r="H81" s="50"/>
      <c r="I81" s="36">
        <f t="shared" si="2"/>
        <v>396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5"/>
      <c r="B82" s="33"/>
      <c r="C82" s="43"/>
      <c r="D82" s="26"/>
      <c r="E82" s="84"/>
      <c r="F82" s="34">
        <f t="shared" si="1"/>
        <v>1139283.8</v>
      </c>
      <c r="G82" s="29"/>
      <c r="H82" s="50"/>
      <c r="I82" s="36">
        <f t="shared" si="2"/>
        <v>396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69"/>
      <c r="B83" s="69"/>
      <c r="C83" s="106"/>
      <c r="D83" s="3"/>
      <c r="E83" s="6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69"/>
      <c r="B84" s="69"/>
      <c r="C84" s="106"/>
      <c r="D84" s="3"/>
      <c r="E84" s="6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69"/>
      <c r="B85" s="69"/>
      <c r="C85" s="106"/>
      <c r="D85" s="3"/>
      <c r="E85" s="6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69"/>
      <c r="B86" s="69"/>
      <c r="C86" s="106"/>
      <c r="D86" s="3"/>
      <c r="E86" s="6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69"/>
      <c r="B87" s="69"/>
      <c r="C87" s="106"/>
      <c r="D87" s="3"/>
      <c r="E87" s="6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69"/>
      <c r="B88" s="69"/>
      <c r="C88" s="106"/>
      <c r="D88" s="3"/>
      <c r="E88" s="6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69"/>
      <c r="B89" s="69"/>
      <c r="C89" s="106"/>
      <c r="D89" s="3"/>
      <c r="E89" s="6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69"/>
      <c r="B90" s="69"/>
      <c r="C90" s="106"/>
      <c r="D90" s="3"/>
      <c r="E90" s="6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69"/>
      <c r="B91" s="69"/>
      <c r="C91" s="106"/>
      <c r="D91" s="3"/>
      <c r="E91" s="6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69"/>
      <c r="B92" s="69"/>
      <c r="C92" s="106"/>
      <c r="D92" s="3"/>
      <c r="E92" s="6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69"/>
      <c r="B93" s="69"/>
      <c r="C93" s="106"/>
      <c r="D93" s="3"/>
      <c r="E93" s="6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69"/>
      <c r="B94" s="69"/>
      <c r="C94" s="106"/>
      <c r="D94" s="3"/>
      <c r="E94" s="6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69"/>
      <c r="B95" s="69"/>
      <c r="C95" s="106"/>
      <c r="D95" s="3"/>
      <c r="E95" s="6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69"/>
      <c r="B96" s="69"/>
      <c r="C96" s="106"/>
      <c r="D96" s="3"/>
      <c r="E96" s="6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69"/>
      <c r="B97" s="69"/>
      <c r="C97" s="106"/>
      <c r="D97" s="3"/>
      <c r="E97" s="6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69"/>
      <c r="B98" s="69"/>
      <c r="C98" s="106"/>
      <c r="D98" s="3"/>
      <c r="E98" s="6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69"/>
      <c r="B99" s="69"/>
      <c r="C99" s="106"/>
      <c r="D99" s="3"/>
      <c r="E99" s="6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69"/>
      <c r="B100" s="69"/>
      <c r="C100" s="106"/>
      <c r="D100" s="3"/>
      <c r="E100" s="6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69"/>
      <c r="B101" s="69"/>
      <c r="C101" s="106"/>
      <c r="D101" s="3"/>
      <c r="E101" s="6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69"/>
      <c r="B102" s="69"/>
      <c r="C102" s="106"/>
      <c r="D102" s="3"/>
      <c r="E102" s="6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69"/>
      <c r="B103" s="69"/>
      <c r="C103" s="106"/>
      <c r="D103" s="3"/>
      <c r="E103" s="6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69"/>
      <c r="B104" s="69"/>
      <c r="C104" s="106"/>
      <c r="D104" s="3"/>
      <c r="E104" s="6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69"/>
      <c r="B105" s="69"/>
      <c r="C105" s="106"/>
      <c r="D105" s="3"/>
      <c r="E105" s="6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69"/>
      <c r="B106" s="69"/>
      <c r="C106" s="106"/>
      <c r="D106" s="3"/>
      <c r="E106" s="6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69"/>
      <c r="B107" s="69"/>
      <c r="C107" s="106"/>
      <c r="D107" s="3"/>
      <c r="E107" s="6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69"/>
      <c r="B108" s="69"/>
      <c r="C108" s="106"/>
      <c r="D108" s="3"/>
      <c r="E108" s="6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69"/>
      <c r="B109" s="69"/>
      <c r="C109" s="106"/>
      <c r="D109" s="3"/>
      <c r="E109" s="6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69"/>
      <c r="B110" s="69"/>
      <c r="C110" s="106"/>
      <c r="D110" s="3"/>
      <c r="E110" s="6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69"/>
      <c r="B111" s="69"/>
      <c r="C111" s="106"/>
      <c r="D111" s="3"/>
      <c r="E111" s="6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69"/>
      <c r="B112" s="69"/>
      <c r="C112" s="106"/>
      <c r="D112" s="3"/>
      <c r="E112" s="6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69"/>
      <c r="B113" s="69"/>
      <c r="C113" s="106"/>
      <c r="D113" s="3"/>
      <c r="E113" s="6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69"/>
      <c r="B114" s="69"/>
      <c r="C114" s="106"/>
      <c r="D114" s="3"/>
      <c r="E114" s="6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69"/>
      <c r="B115" s="69"/>
      <c r="C115" s="106"/>
      <c r="D115" s="3"/>
      <c r="E115" s="6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69"/>
      <c r="B116" s="69"/>
      <c r="C116" s="106"/>
      <c r="D116" s="3"/>
      <c r="E116" s="6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69"/>
      <c r="B117" s="69"/>
      <c r="C117" s="106"/>
      <c r="D117" s="3"/>
      <c r="E117" s="6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69"/>
      <c r="B118" s="69"/>
      <c r="C118" s="106"/>
      <c r="D118" s="3"/>
      <c r="E118" s="6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69"/>
      <c r="B119" s="69"/>
      <c r="C119" s="106"/>
      <c r="D119" s="3"/>
      <c r="E119" s="6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69"/>
      <c r="B120" s="69"/>
      <c r="C120" s="106"/>
      <c r="D120" s="3"/>
      <c r="E120" s="6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69"/>
      <c r="B121" s="69"/>
      <c r="C121" s="106"/>
      <c r="D121" s="3"/>
      <c r="E121" s="6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69"/>
      <c r="B122" s="69"/>
      <c r="C122" s="106"/>
      <c r="D122" s="3"/>
      <c r="E122" s="6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69"/>
      <c r="B123" s="69"/>
      <c r="C123" s="106"/>
      <c r="D123" s="3"/>
      <c r="E123" s="6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69"/>
      <c r="B124" s="69"/>
      <c r="C124" s="106"/>
      <c r="D124" s="3"/>
      <c r="E124" s="6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69"/>
      <c r="B125" s="69"/>
      <c r="C125" s="106"/>
      <c r="D125" s="3"/>
      <c r="E125" s="6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69"/>
      <c r="B126" s="69"/>
      <c r="C126" s="106"/>
      <c r="D126" s="3"/>
      <c r="E126" s="6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69"/>
      <c r="B127" s="69"/>
      <c r="C127" s="106"/>
      <c r="D127" s="3"/>
      <c r="E127" s="6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69"/>
      <c r="B128" s="69"/>
      <c r="C128" s="106"/>
      <c r="D128" s="3"/>
      <c r="E128" s="6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69"/>
      <c r="B129" s="69"/>
      <c r="C129" s="106"/>
      <c r="D129" s="3"/>
      <c r="E129" s="6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69"/>
      <c r="B130" s="69"/>
      <c r="C130" s="106"/>
      <c r="D130" s="3"/>
      <c r="E130" s="6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69"/>
      <c r="B131" s="69"/>
      <c r="C131" s="106"/>
      <c r="D131" s="3"/>
      <c r="E131" s="6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69"/>
      <c r="B132" s="69"/>
      <c r="C132" s="106"/>
      <c r="D132" s="3"/>
      <c r="E132" s="6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69"/>
      <c r="B133" s="69"/>
      <c r="C133" s="106"/>
      <c r="D133" s="3"/>
      <c r="E133" s="6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69"/>
      <c r="B134" s="69"/>
      <c r="C134" s="106"/>
      <c r="D134" s="3"/>
      <c r="E134" s="6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69"/>
      <c r="B135" s="69"/>
      <c r="C135" s="106"/>
      <c r="D135" s="3"/>
      <c r="E135" s="6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69"/>
      <c r="B136" s="69"/>
      <c r="C136" s="106"/>
      <c r="D136" s="3"/>
      <c r="E136" s="6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69"/>
      <c r="B137" s="69"/>
      <c r="C137" s="106"/>
      <c r="D137" s="3"/>
      <c r="E137" s="6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69"/>
      <c r="B138" s="69"/>
      <c r="C138" s="106"/>
      <c r="D138" s="3"/>
      <c r="E138" s="6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69"/>
      <c r="B139" s="69"/>
      <c r="C139" s="106"/>
      <c r="D139" s="3"/>
      <c r="E139" s="6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69"/>
      <c r="B140" s="69"/>
      <c r="C140" s="106"/>
      <c r="D140" s="3"/>
      <c r="E140" s="6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69"/>
      <c r="B141" s="69"/>
      <c r="C141" s="106"/>
      <c r="D141" s="3"/>
      <c r="E141" s="6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69"/>
      <c r="B142" s="69"/>
      <c r="C142" s="106"/>
      <c r="D142" s="3"/>
      <c r="E142" s="6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69"/>
      <c r="B143" s="69"/>
      <c r="C143" s="106"/>
      <c r="D143" s="3"/>
      <c r="E143" s="6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69"/>
      <c r="B144" s="69"/>
      <c r="C144" s="106"/>
      <c r="D144" s="3"/>
      <c r="E144" s="6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69"/>
      <c r="B145" s="69"/>
      <c r="C145" s="106"/>
      <c r="D145" s="3"/>
      <c r="E145" s="6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69"/>
      <c r="B146" s="69"/>
      <c r="C146" s="106"/>
      <c r="D146" s="3"/>
      <c r="E146" s="6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69"/>
      <c r="B147" s="69"/>
      <c r="C147" s="106"/>
      <c r="D147" s="3"/>
      <c r="E147" s="6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69"/>
      <c r="B148" s="69"/>
      <c r="C148" s="106"/>
      <c r="D148" s="3"/>
      <c r="E148" s="6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69"/>
      <c r="B149" s="69"/>
      <c r="C149" s="106"/>
      <c r="D149" s="3"/>
      <c r="E149" s="6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69"/>
      <c r="B150" s="69"/>
      <c r="C150" s="106"/>
      <c r="D150" s="3"/>
      <c r="E150" s="6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69"/>
      <c r="B151" s="69"/>
      <c r="C151" s="106"/>
      <c r="D151" s="3"/>
      <c r="E151" s="6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69"/>
      <c r="B152" s="69"/>
      <c r="C152" s="106"/>
      <c r="D152" s="3"/>
      <c r="E152" s="6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69"/>
      <c r="B153" s="69"/>
      <c r="C153" s="106"/>
      <c r="D153" s="3"/>
      <c r="E153" s="6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69"/>
      <c r="B154" s="69"/>
      <c r="C154" s="106"/>
      <c r="D154" s="3"/>
      <c r="E154" s="6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69"/>
      <c r="B155" s="69"/>
      <c r="C155" s="106"/>
      <c r="D155" s="3"/>
      <c r="E155" s="6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69"/>
      <c r="B156" s="69"/>
      <c r="C156" s="106"/>
      <c r="D156" s="3"/>
      <c r="E156" s="6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69"/>
      <c r="B157" s="69"/>
      <c r="C157" s="106"/>
      <c r="D157" s="3"/>
      <c r="E157" s="6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69"/>
      <c r="B158" s="69"/>
      <c r="C158" s="106"/>
      <c r="D158" s="3"/>
      <c r="E158" s="6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69"/>
      <c r="B159" s="69"/>
      <c r="C159" s="106"/>
      <c r="D159" s="3"/>
      <c r="E159" s="6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69"/>
      <c r="B160" s="69"/>
      <c r="C160" s="106"/>
      <c r="D160" s="3"/>
      <c r="E160" s="6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69"/>
      <c r="B161" s="69"/>
      <c r="C161" s="106"/>
      <c r="D161" s="3"/>
      <c r="E161" s="6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69"/>
      <c r="B162" s="69"/>
      <c r="C162" s="106"/>
      <c r="D162" s="3"/>
      <c r="E162" s="6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69"/>
      <c r="B163" s="69"/>
      <c r="C163" s="106"/>
      <c r="D163" s="3"/>
      <c r="E163" s="6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69"/>
      <c r="B164" s="69"/>
      <c r="C164" s="106"/>
      <c r="D164" s="3"/>
      <c r="E164" s="6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69"/>
      <c r="B165" s="69"/>
      <c r="C165" s="106"/>
      <c r="D165" s="3"/>
      <c r="E165" s="6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69"/>
      <c r="B166" s="69"/>
      <c r="C166" s="106"/>
      <c r="D166" s="3"/>
      <c r="E166" s="6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69"/>
      <c r="B167" s="69"/>
      <c r="C167" s="106"/>
      <c r="D167" s="3"/>
      <c r="E167" s="6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69"/>
      <c r="B168" s="69"/>
      <c r="C168" s="106"/>
      <c r="D168" s="3"/>
      <c r="E168" s="6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69"/>
      <c r="B169" s="69"/>
      <c r="C169" s="106"/>
      <c r="D169" s="3"/>
      <c r="E169" s="6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69"/>
      <c r="B170" s="69"/>
      <c r="C170" s="106"/>
      <c r="D170" s="3"/>
      <c r="E170" s="6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69"/>
      <c r="B171" s="69"/>
      <c r="C171" s="106"/>
      <c r="D171" s="3"/>
      <c r="E171" s="6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69"/>
      <c r="B172" s="69"/>
      <c r="C172" s="106"/>
      <c r="D172" s="3"/>
      <c r="E172" s="6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69"/>
      <c r="B173" s="69"/>
      <c r="C173" s="106"/>
      <c r="D173" s="3"/>
      <c r="E173" s="6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69"/>
      <c r="B174" s="69"/>
      <c r="C174" s="106"/>
      <c r="D174" s="3"/>
      <c r="E174" s="6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69"/>
      <c r="B175" s="69"/>
      <c r="C175" s="106"/>
      <c r="D175" s="3"/>
      <c r="E175" s="6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69"/>
      <c r="B176" s="69"/>
      <c r="C176" s="106"/>
      <c r="D176" s="3"/>
      <c r="E176" s="6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69"/>
      <c r="B177" s="69"/>
      <c r="C177" s="106"/>
      <c r="D177" s="3"/>
      <c r="E177" s="6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69"/>
      <c r="B178" s="69"/>
      <c r="C178" s="106"/>
      <c r="D178" s="3"/>
      <c r="E178" s="6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69"/>
      <c r="B179" s="69"/>
      <c r="C179" s="106"/>
      <c r="D179" s="3"/>
      <c r="E179" s="6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69"/>
      <c r="B180" s="69"/>
      <c r="C180" s="106"/>
      <c r="D180" s="3"/>
      <c r="E180" s="6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69"/>
      <c r="B181" s="69"/>
      <c r="C181" s="106"/>
      <c r="D181" s="3"/>
      <c r="E181" s="6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69"/>
      <c r="B182" s="69"/>
      <c r="C182" s="106"/>
      <c r="D182" s="3"/>
      <c r="E182" s="6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69"/>
      <c r="B183" s="69"/>
      <c r="C183" s="106"/>
      <c r="D183" s="3"/>
      <c r="E183" s="6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69"/>
      <c r="B184" s="69"/>
      <c r="C184" s="106"/>
      <c r="D184" s="3"/>
      <c r="E184" s="6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69"/>
      <c r="B185" s="69"/>
      <c r="C185" s="106"/>
      <c r="D185" s="3"/>
      <c r="E185" s="6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69"/>
      <c r="B186" s="69"/>
      <c r="C186" s="106"/>
      <c r="D186" s="3"/>
      <c r="E186" s="6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69"/>
      <c r="B187" s="69"/>
      <c r="C187" s="106"/>
      <c r="D187" s="3"/>
      <c r="E187" s="6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69"/>
      <c r="B188" s="69"/>
      <c r="C188" s="106"/>
      <c r="D188" s="3"/>
      <c r="E188" s="6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69"/>
      <c r="B189" s="69"/>
      <c r="C189" s="106"/>
      <c r="D189" s="3"/>
      <c r="E189" s="6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69"/>
      <c r="B190" s="69"/>
      <c r="C190" s="106"/>
      <c r="D190" s="3"/>
      <c r="E190" s="6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69"/>
      <c r="B191" s="69"/>
      <c r="C191" s="106"/>
      <c r="D191" s="3"/>
      <c r="E191" s="6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69"/>
      <c r="B192" s="69"/>
      <c r="C192" s="106"/>
      <c r="D192" s="3"/>
      <c r="E192" s="6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69"/>
      <c r="B193" s="69"/>
      <c r="C193" s="106"/>
      <c r="D193" s="3"/>
      <c r="E193" s="6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69"/>
      <c r="B194" s="69"/>
      <c r="C194" s="106"/>
      <c r="D194" s="3"/>
      <c r="E194" s="6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69"/>
      <c r="B195" s="69"/>
      <c r="C195" s="106"/>
      <c r="D195" s="3"/>
      <c r="E195" s="6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69"/>
      <c r="B196" s="69"/>
      <c r="C196" s="106"/>
      <c r="D196" s="3"/>
      <c r="E196" s="6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69"/>
      <c r="B197" s="69"/>
      <c r="C197" s="106"/>
      <c r="D197" s="3"/>
      <c r="E197" s="6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69"/>
      <c r="B198" s="69"/>
      <c r="C198" s="106"/>
      <c r="D198" s="3"/>
      <c r="E198" s="6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69"/>
      <c r="B199" s="69"/>
      <c r="C199" s="106"/>
      <c r="D199" s="3"/>
      <c r="E199" s="6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69"/>
      <c r="B200" s="69"/>
      <c r="C200" s="106"/>
      <c r="D200" s="3"/>
      <c r="E200" s="6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69"/>
      <c r="B201" s="69"/>
      <c r="C201" s="106"/>
      <c r="D201" s="3"/>
      <c r="E201" s="6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69"/>
      <c r="B202" s="69"/>
      <c r="C202" s="106"/>
      <c r="D202" s="3"/>
      <c r="E202" s="6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69"/>
      <c r="B203" s="69"/>
      <c r="C203" s="106"/>
      <c r="D203" s="3"/>
      <c r="E203" s="6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69"/>
      <c r="B204" s="69"/>
      <c r="C204" s="106"/>
      <c r="D204" s="3"/>
      <c r="E204" s="6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69"/>
      <c r="B205" s="69"/>
      <c r="C205" s="106"/>
      <c r="D205" s="3"/>
      <c r="E205" s="6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69"/>
      <c r="B206" s="69"/>
      <c r="C206" s="106"/>
      <c r="D206" s="3"/>
      <c r="E206" s="6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69"/>
      <c r="B207" s="69"/>
      <c r="C207" s="106"/>
      <c r="D207" s="3"/>
      <c r="E207" s="6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69"/>
      <c r="B208" s="69"/>
      <c r="C208" s="106"/>
      <c r="D208" s="3"/>
      <c r="E208" s="6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69"/>
      <c r="B209" s="69"/>
      <c r="C209" s="106"/>
      <c r="D209" s="3"/>
      <c r="E209" s="6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69"/>
      <c r="B210" s="69"/>
      <c r="C210" s="106"/>
      <c r="D210" s="3"/>
      <c r="E210" s="6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69"/>
      <c r="B211" s="69"/>
      <c r="C211" s="106"/>
      <c r="D211" s="3"/>
      <c r="E211" s="6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69"/>
      <c r="B212" s="69"/>
      <c r="C212" s="106"/>
      <c r="D212" s="3"/>
      <c r="E212" s="6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69"/>
      <c r="B213" s="69"/>
      <c r="C213" s="106"/>
      <c r="D213" s="3"/>
      <c r="E213" s="6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69"/>
      <c r="B214" s="69"/>
      <c r="C214" s="106"/>
      <c r="D214" s="3"/>
      <c r="E214" s="6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69"/>
      <c r="B215" s="69"/>
      <c r="C215" s="106"/>
      <c r="D215" s="3"/>
      <c r="E215" s="6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69"/>
      <c r="B216" s="69"/>
      <c r="C216" s="106"/>
      <c r="D216" s="3"/>
      <c r="E216" s="6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69"/>
      <c r="B217" s="69"/>
      <c r="C217" s="106"/>
      <c r="D217" s="3"/>
      <c r="E217" s="6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69"/>
      <c r="B218" s="69"/>
      <c r="C218" s="106"/>
      <c r="D218" s="3"/>
      <c r="E218" s="6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69"/>
      <c r="B219" s="69"/>
      <c r="C219" s="106"/>
      <c r="D219" s="3"/>
      <c r="E219" s="6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69"/>
      <c r="B220" s="69"/>
      <c r="C220" s="106"/>
      <c r="D220" s="3"/>
      <c r="E220" s="6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69"/>
      <c r="B221" s="69"/>
      <c r="C221" s="106"/>
      <c r="D221" s="3"/>
      <c r="E221" s="6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69"/>
      <c r="B222" s="69"/>
      <c r="C222" s="106"/>
      <c r="D222" s="3"/>
      <c r="E222" s="6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69"/>
      <c r="B223" s="69"/>
      <c r="C223" s="106"/>
      <c r="D223" s="3"/>
      <c r="E223" s="6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69"/>
      <c r="B224" s="69"/>
      <c r="C224" s="106"/>
      <c r="D224" s="3"/>
      <c r="E224" s="6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69"/>
      <c r="B225" s="69"/>
      <c r="C225" s="106"/>
      <c r="D225" s="3"/>
      <c r="E225" s="6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69"/>
      <c r="B226" s="69"/>
      <c r="C226" s="106"/>
      <c r="D226" s="3"/>
      <c r="E226" s="6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69"/>
      <c r="B227" s="69"/>
      <c r="C227" s="106"/>
      <c r="D227" s="3"/>
      <c r="E227" s="6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69"/>
      <c r="B228" s="69"/>
      <c r="C228" s="106"/>
      <c r="D228" s="3"/>
      <c r="E228" s="6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69"/>
      <c r="B229" s="69"/>
      <c r="C229" s="106"/>
      <c r="D229" s="3"/>
      <c r="E229" s="6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69"/>
      <c r="B230" s="69"/>
      <c r="C230" s="106"/>
      <c r="D230" s="3"/>
      <c r="E230" s="6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69"/>
      <c r="B231" s="69"/>
      <c r="C231" s="106"/>
      <c r="D231" s="3"/>
      <c r="E231" s="6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69"/>
      <c r="B232" s="69"/>
      <c r="C232" s="106"/>
      <c r="D232" s="3"/>
      <c r="E232" s="6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69"/>
      <c r="B233" s="69"/>
      <c r="C233" s="106"/>
      <c r="D233" s="3"/>
      <c r="E233" s="6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69"/>
      <c r="B234" s="69"/>
      <c r="C234" s="106"/>
      <c r="D234" s="3"/>
      <c r="E234" s="6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69"/>
      <c r="B235" s="69"/>
      <c r="C235" s="106"/>
      <c r="D235" s="3"/>
      <c r="E235" s="6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69"/>
      <c r="B236" s="69"/>
      <c r="C236" s="106"/>
      <c r="D236" s="3"/>
      <c r="E236" s="6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69"/>
      <c r="B237" s="69"/>
      <c r="C237" s="106"/>
      <c r="D237" s="3"/>
      <c r="E237" s="6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69"/>
      <c r="B238" s="69"/>
      <c r="C238" s="106"/>
      <c r="D238" s="3"/>
      <c r="E238" s="6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69"/>
      <c r="B239" s="69"/>
      <c r="C239" s="106"/>
      <c r="D239" s="3"/>
      <c r="E239" s="6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69"/>
      <c r="B240" s="69"/>
      <c r="C240" s="106"/>
      <c r="D240" s="3"/>
      <c r="E240" s="6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69"/>
      <c r="B241" s="69"/>
      <c r="C241" s="106"/>
      <c r="D241" s="3"/>
      <c r="E241" s="6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69"/>
      <c r="B242" s="69"/>
      <c r="C242" s="106"/>
      <c r="D242" s="3"/>
      <c r="E242" s="6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69"/>
      <c r="B243" s="69"/>
      <c r="C243" s="106"/>
      <c r="D243" s="3"/>
      <c r="E243" s="6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69"/>
      <c r="B244" s="69"/>
      <c r="C244" s="106"/>
      <c r="D244" s="3"/>
      <c r="E244" s="6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69"/>
      <c r="B245" s="69"/>
      <c r="C245" s="106"/>
      <c r="D245" s="3"/>
      <c r="E245" s="6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69"/>
      <c r="B246" s="69"/>
      <c r="C246" s="106"/>
      <c r="D246" s="3"/>
      <c r="E246" s="6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69"/>
      <c r="B247" s="69"/>
      <c r="C247" s="106"/>
      <c r="D247" s="3"/>
      <c r="E247" s="6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69"/>
      <c r="B248" s="69"/>
      <c r="C248" s="106"/>
      <c r="D248" s="3"/>
      <c r="E248" s="6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69"/>
      <c r="B249" s="69"/>
      <c r="C249" s="106"/>
      <c r="D249" s="3"/>
      <c r="E249" s="6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69"/>
      <c r="B250" s="69"/>
      <c r="C250" s="106"/>
      <c r="D250" s="3"/>
      <c r="E250" s="6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69"/>
      <c r="B251" s="69"/>
      <c r="C251" s="106"/>
      <c r="D251" s="3"/>
      <c r="E251" s="6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69"/>
      <c r="B252" s="69"/>
      <c r="C252" s="106"/>
      <c r="D252" s="3"/>
      <c r="E252" s="6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69"/>
      <c r="B253" s="69"/>
      <c r="C253" s="106"/>
      <c r="D253" s="3"/>
      <c r="E253" s="6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69"/>
      <c r="B254" s="69"/>
      <c r="C254" s="106"/>
      <c r="D254" s="3"/>
      <c r="E254" s="6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69"/>
      <c r="B255" s="69"/>
      <c r="C255" s="106"/>
      <c r="D255" s="3"/>
      <c r="E255" s="6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69"/>
      <c r="B256" s="69"/>
      <c r="C256" s="106"/>
      <c r="D256" s="3"/>
      <c r="E256" s="6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69"/>
      <c r="B257" s="69"/>
      <c r="C257" s="106"/>
      <c r="D257" s="3"/>
      <c r="E257" s="6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69"/>
      <c r="B258" s="69"/>
      <c r="C258" s="106"/>
      <c r="D258" s="3"/>
      <c r="E258" s="6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69"/>
      <c r="B259" s="69"/>
      <c r="C259" s="106"/>
      <c r="D259" s="3"/>
      <c r="E259" s="6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69"/>
      <c r="B260" s="69"/>
      <c r="C260" s="106"/>
      <c r="D260" s="3"/>
      <c r="E260" s="6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69"/>
      <c r="B261" s="69"/>
      <c r="C261" s="106"/>
      <c r="D261" s="3"/>
      <c r="E261" s="6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69"/>
      <c r="B262" s="69"/>
      <c r="C262" s="106"/>
      <c r="D262" s="3"/>
      <c r="E262" s="6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69"/>
      <c r="B263" s="69"/>
      <c r="C263" s="106"/>
      <c r="D263" s="3"/>
      <c r="E263" s="6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69"/>
      <c r="B264" s="69"/>
      <c r="C264" s="106"/>
      <c r="D264" s="3"/>
      <c r="E264" s="6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69"/>
      <c r="B265" s="69"/>
      <c r="C265" s="106"/>
      <c r="D265" s="3"/>
      <c r="E265" s="6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69"/>
      <c r="B266" s="69"/>
      <c r="C266" s="106"/>
      <c r="D266" s="3"/>
      <c r="E266" s="6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69"/>
      <c r="B267" s="69"/>
      <c r="C267" s="106"/>
      <c r="D267" s="3"/>
      <c r="E267" s="6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69"/>
      <c r="B268" s="69"/>
      <c r="C268" s="106"/>
      <c r="D268" s="3"/>
      <c r="E268" s="6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69"/>
      <c r="B269" s="69"/>
      <c r="C269" s="106"/>
      <c r="D269" s="3"/>
      <c r="E269" s="6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69"/>
      <c r="B270" s="69"/>
      <c r="C270" s="106"/>
      <c r="D270" s="3"/>
      <c r="E270" s="6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69"/>
      <c r="B271" s="69"/>
      <c r="C271" s="106"/>
      <c r="D271" s="3"/>
      <c r="E271" s="6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69"/>
      <c r="B272" s="69"/>
      <c r="C272" s="106"/>
      <c r="D272" s="3"/>
      <c r="E272" s="6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69"/>
      <c r="B273" s="69"/>
      <c r="C273" s="106"/>
      <c r="D273" s="3"/>
      <c r="E273" s="6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69"/>
      <c r="B274" s="69"/>
      <c r="C274" s="106"/>
      <c r="D274" s="3"/>
      <c r="E274" s="6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69"/>
      <c r="B275" s="69"/>
      <c r="C275" s="106"/>
      <c r="D275" s="3"/>
      <c r="E275" s="6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69"/>
      <c r="B276" s="69"/>
      <c r="C276" s="106"/>
      <c r="D276" s="3"/>
      <c r="E276" s="6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69"/>
      <c r="B277" s="69"/>
      <c r="C277" s="106"/>
      <c r="D277" s="3"/>
      <c r="E277" s="6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69"/>
      <c r="B278" s="69"/>
      <c r="C278" s="106"/>
      <c r="D278" s="3"/>
      <c r="E278" s="6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69"/>
      <c r="B279" s="69"/>
      <c r="C279" s="106"/>
      <c r="D279" s="3"/>
      <c r="E279" s="6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69"/>
      <c r="B280" s="69"/>
      <c r="C280" s="106"/>
      <c r="D280" s="3"/>
      <c r="E280" s="6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69"/>
      <c r="B281" s="69"/>
      <c r="C281" s="106"/>
      <c r="D281" s="3"/>
      <c r="E281" s="6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69"/>
      <c r="B282" s="69"/>
      <c r="C282" s="106"/>
      <c r="D282" s="3"/>
      <c r="E282" s="6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69"/>
      <c r="B283" s="69"/>
      <c r="C283" s="106"/>
      <c r="D283" s="3"/>
      <c r="E283" s="6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69"/>
      <c r="B284" s="69"/>
      <c r="C284" s="106"/>
      <c r="D284" s="3"/>
      <c r="E284" s="6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69"/>
      <c r="B285" s="69"/>
      <c r="C285" s="106"/>
      <c r="D285" s="3"/>
      <c r="E285" s="6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69"/>
      <c r="B286" s="69"/>
      <c r="C286" s="106"/>
      <c r="D286" s="3"/>
      <c r="E286" s="6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69"/>
      <c r="B287" s="69"/>
      <c r="C287" s="106"/>
      <c r="D287" s="3"/>
      <c r="E287" s="6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69"/>
      <c r="B288" s="69"/>
      <c r="C288" s="106"/>
      <c r="D288" s="3"/>
      <c r="E288" s="6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69"/>
      <c r="B289" s="69"/>
      <c r="C289" s="106"/>
      <c r="D289" s="3"/>
      <c r="E289" s="6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69"/>
      <c r="B290" s="69"/>
      <c r="C290" s="106"/>
      <c r="D290" s="3"/>
      <c r="E290" s="6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69"/>
      <c r="B291" s="69"/>
      <c r="C291" s="106"/>
      <c r="D291" s="3"/>
      <c r="E291" s="6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69"/>
      <c r="B292" s="69"/>
      <c r="C292" s="106"/>
      <c r="D292" s="3"/>
      <c r="E292" s="6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69"/>
      <c r="B293" s="69"/>
      <c r="C293" s="106"/>
      <c r="D293" s="3"/>
      <c r="E293" s="6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69"/>
      <c r="B294" s="69"/>
      <c r="C294" s="106"/>
      <c r="D294" s="3"/>
      <c r="E294" s="6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69"/>
      <c r="B295" s="69"/>
      <c r="C295" s="106"/>
      <c r="D295" s="3"/>
      <c r="E295" s="6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69"/>
      <c r="B296" s="69"/>
      <c r="C296" s="106"/>
      <c r="D296" s="3"/>
      <c r="E296" s="6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69"/>
      <c r="B297" s="69"/>
      <c r="C297" s="106"/>
      <c r="D297" s="3"/>
      <c r="E297" s="6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69"/>
      <c r="B298" s="69"/>
      <c r="C298" s="106"/>
      <c r="D298" s="3"/>
      <c r="E298" s="6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69"/>
      <c r="B299" s="69"/>
      <c r="C299" s="106"/>
      <c r="D299" s="3"/>
      <c r="E299" s="6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69"/>
      <c r="B300" s="69"/>
      <c r="C300" s="106"/>
      <c r="D300" s="3"/>
      <c r="E300" s="6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69"/>
      <c r="B301" s="69"/>
      <c r="C301" s="106"/>
      <c r="D301" s="3"/>
      <c r="E301" s="6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69"/>
      <c r="B302" s="69"/>
      <c r="C302" s="106"/>
      <c r="D302" s="3"/>
      <c r="E302" s="6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69"/>
      <c r="B303" s="69"/>
      <c r="C303" s="106"/>
      <c r="D303" s="3"/>
      <c r="E303" s="6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69"/>
      <c r="B304" s="69"/>
      <c r="C304" s="106"/>
      <c r="D304" s="3"/>
      <c r="E304" s="6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69"/>
      <c r="B305" s="69"/>
      <c r="C305" s="106"/>
      <c r="D305" s="3"/>
      <c r="E305" s="6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69"/>
      <c r="B306" s="69"/>
      <c r="C306" s="106"/>
      <c r="D306" s="3"/>
      <c r="E306" s="6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69"/>
      <c r="B307" s="69"/>
      <c r="C307" s="106"/>
      <c r="D307" s="3"/>
      <c r="E307" s="6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69"/>
      <c r="B308" s="69"/>
      <c r="C308" s="106"/>
      <c r="D308" s="3"/>
      <c r="E308" s="6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69"/>
      <c r="B309" s="69"/>
      <c r="C309" s="106"/>
      <c r="D309" s="3"/>
      <c r="E309" s="6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69"/>
      <c r="B310" s="69"/>
      <c r="C310" s="106"/>
      <c r="D310" s="3"/>
      <c r="E310" s="6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69"/>
      <c r="B311" s="69"/>
      <c r="C311" s="106"/>
      <c r="D311" s="3"/>
      <c r="E311" s="6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69"/>
      <c r="B312" s="69"/>
      <c r="C312" s="106"/>
      <c r="D312" s="3"/>
      <c r="E312" s="6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69"/>
      <c r="B313" s="69"/>
      <c r="C313" s="106"/>
      <c r="D313" s="3"/>
      <c r="E313" s="6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69"/>
      <c r="B314" s="69"/>
      <c r="C314" s="106"/>
      <c r="D314" s="3"/>
      <c r="E314" s="6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69"/>
      <c r="B315" s="69"/>
      <c r="C315" s="106"/>
      <c r="D315" s="3"/>
      <c r="E315" s="6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69"/>
      <c r="B316" s="69"/>
      <c r="C316" s="106"/>
      <c r="D316" s="3"/>
      <c r="E316" s="6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69"/>
      <c r="B317" s="69"/>
      <c r="C317" s="106"/>
      <c r="D317" s="3"/>
      <c r="E317" s="6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69"/>
      <c r="B318" s="69"/>
      <c r="C318" s="106"/>
      <c r="D318" s="3"/>
      <c r="E318" s="6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69"/>
      <c r="B319" s="69"/>
      <c r="C319" s="106"/>
      <c r="D319" s="3"/>
      <c r="E319" s="6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69"/>
      <c r="B320" s="69"/>
      <c r="C320" s="106"/>
      <c r="D320" s="3"/>
      <c r="E320" s="6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69"/>
      <c r="B321" s="69"/>
      <c r="C321" s="106"/>
      <c r="D321" s="3"/>
      <c r="E321" s="6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69"/>
      <c r="B322" s="69"/>
      <c r="C322" s="106"/>
      <c r="D322" s="3"/>
      <c r="E322" s="6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69"/>
      <c r="B323" s="69"/>
      <c r="C323" s="106"/>
      <c r="D323" s="3"/>
      <c r="E323" s="6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69"/>
      <c r="B324" s="69"/>
      <c r="C324" s="106"/>
      <c r="D324" s="3"/>
      <c r="E324" s="6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69"/>
      <c r="B325" s="69"/>
      <c r="C325" s="106"/>
      <c r="D325" s="3"/>
      <c r="E325" s="6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69"/>
      <c r="B326" s="69"/>
      <c r="C326" s="106"/>
      <c r="D326" s="3"/>
      <c r="E326" s="6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69"/>
      <c r="B327" s="69"/>
      <c r="C327" s="106"/>
      <c r="D327" s="3"/>
      <c r="E327" s="6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69"/>
      <c r="B328" s="69"/>
      <c r="C328" s="106"/>
      <c r="D328" s="3"/>
      <c r="E328" s="6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69"/>
      <c r="B329" s="69"/>
      <c r="C329" s="106"/>
      <c r="D329" s="3"/>
      <c r="E329" s="6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69"/>
      <c r="B330" s="69"/>
      <c r="C330" s="106"/>
      <c r="D330" s="3"/>
      <c r="E330" s="6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69"/>
      <c r="B331" s="69"/>
      <c r="C331" s="106"/>
      <c r="D331" s="3"/>
      <c r="E331" s="6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69"/>
      <c r="B332" s="69"/>
      <c r="C332" s="106"/>
      <c r="D332" s="3"/>
      <c r="E332" s="6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69"/>
      <c r="B333" s="69"/>
      <c r="C333" s="106"/>
      <c r="D333" s="3"/>
      <c r="E333" s="6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69"/>
      <c r="B334" s="69"/>
      <c r="C334" s="106"/>
      <c r="D334" s="3"/>
      <c r="E334" s="6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69"/>
      <c r="B335" s="69"/>
      <c r="C335" s="106"/>
      <c r="D335" s="3"/>
      <c r="E335" s="6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69"/>
      <c r="B336" s="69"/>
      <c r="C336" s="106"/>
      <c r="D336" s="3"/>
      <c r="E336" s="6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69"/>
      <c r="B337" s="69"/>
      <c r="C337" s="106"/>
      <c r="D337" s="3"/>
      <c r="E337" s="6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69"/>
      <c r="B338" s="69"/>
      <c r="C338" s="106"/>
      <c r="D338" s="3"/>
      <c r="E338" s="6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69"/>
      <c r="B339" s="69"/>
      <c r="C339" s="106"/>
      <c r="D339" s="3"/>
      <c r="E339" s="6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69"/>
      <c r="B340" s="69"/>
      <c r="C340" s="106"/>
      <c r="D340" s="3"/>
      <c r="E340" s="6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69"/>
      <c r="B341" s="69"/>
      <c r="C341" s="106"/>
      <c r="D341" s="3"/>
      <c r="E341" s="6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69"/>
      <c r="B342" s="69"/>
      <c r="C342" s="106"/>
      <c r="D342" s="3"/>
      <c r="E342" s="6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69"/>
      <c r="B343" s="69"/>
      <c r="C343" s="106"/>
      <c r="D343" s="3"/>
      <c r="E343" s="6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69"/>
      <c r="B344" s="69"/>
      <c r="C344" s="106"/>
      <c r="D344" s="3"/>
      <c r="E344" s="6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69"/>
      <c r="B345" s="69"/>
      <c r="C345" s="106"/>
      <c r="D345" s="3"/>
      <c r="E345" s="6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69"/>
      <c r="B346" s="69"/>
      <c r="C346" s="106"/>
      <c r="D346" s="3"/>
      <c r="E346" s="6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69"/>
      <c r="B347" s="69"/>
      <c r="C347" s="106"/>
      <c r="D347" s="3"/>
      <c r="E347" s="6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69"/>
      <c r="B348" s="69"/>
      <c r="C348" s="106"/>
      <c r="D348" s="3"/>
      <c r="E348" s="6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69"/>
      <c r="B349" s="69"/>
      <c r="C349" s="106"/>
      <c r="D349" s="3"/>
      <c r="E349" s="6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69"/>
      <c r="B350" s="69"/>
      <c r="C350" s="106"/>
      <c r="D350" s="3"/>
      <c r="E350" s="6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69"/>
      <c r="B351" s="69"/>
      <c r="C351" s="106"/>
      <c r="D351" s="3"/>
      <c r="E351" s="6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69"/>
      <c r="B352" s="69"/>
      <c r="C352" s="106"/>
      <c r="D352" s="3"/>
      <c r="E352" s="6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69"/>
      <c r="B353" s="69"/>
      <c r="C353" s="106"/>
      <c r="D353" s="3"/>
      <c r="E353" s="6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69"/>
      <c r="B354" s="69"/>
      <c r="C354" s="106"/>
      <c r="D354" s="3"/>
      <c r="E354" s="6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69"/>
      <c r="B355" s="69"/>
      <c r="C355" s="106"/>
      <c r="D355" s="3"/>
      <c r="E355" s="6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69"/>
      <c r="B356" s="69"/>
      <c r="C356" s="106"/>
      <c r="D356" s="3"/>
      <c r="E356" s="6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69"/>
      <c r="B357" s="69"/>
      <c r="C357" s="106"/>
      <c r="D357" s="3"/>
      <c r="E357" s="6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69"/>
      <c r="B358" s="69"/>
      <c r="C358" s="106"/>
      <c r="D358" s="3"/>
      <c r="E358" s="6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69"/>
      <c r="B359" s="69"/>
      <c r="C359" s="106"/>
      <c r="D359" s="3"/>
      <c r="E359" s="6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69"/>
      <c r="B360" s="69"/>
      <c r="C360" s="106"/>
      <c r="D360" s="3"/>
      <c r="E360" s="6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69"/>
      <c r="B361" s="69"/>
      <c r="C361" s="106"/>
      <c r="D361" s="3"/>
      <c r="E361" s="6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69"/>
      <c r="B362" s="69"/>
      <c r="C362" s="106"/>
      <c r="D362" s="3"/>
      <c r="E362" s="6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69"/>
      <c r="B363" s="69"/>
      <c r="C363" s="106"/>
      <c r="D363" s="3"/>
      <c r="E363" s="6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69"/>
      <c r="B364" s="69"/>
      <c r="C364" s="106"/>
      <c r="D364" s="3"/>
      <c r="E364" s="6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69"/>
      <c r="B365" s="69"/>
      <c r="C365" s="106"/>
      <c r="D365" s="3"/>
      <c r="E365" s="6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69"/>
      <c r="B366" s="69"/>
      <c r="C366" s="106"/>
      <c r="D366" s="3"/>
      <c r="E366" s="6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69"/>
      <c r="B367" s="69"/>
      <c r="C367" s="106"/>
      <c r="D367" s="3"/>
      <c r="E367" s="6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69"/>
      <c r="B368" s="69"/>
      <c r="C368" s="106"/>
      <c r="D368" s="3"/>
      <c r="E368" s="6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69"/>
      <c r="B369" s="69"/>
      <c r="C369" s="106"/>
      <c r="D369" s="3"/>
      <c r="E369" s="6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69"/>
      <c r="B370" s="69"/>
      <c r="C370" s="106"/>
      <c r="D370" s="3"/>
      <c r="E370" s="6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69"/>
      <c r="B371" s="69"/>
      <c r="C371" s="106"/>
      <c r="D371" s="3"/>
      <c r="E371" s="6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69"/>
      <c r="B372" s="69"/>
      <c r="C372" s="106"/>
      <c r="D372" s="3"/>
      <c r="E372" s="6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69"/>
      <c r="B373" s="69"/>
      <c r="C373" s="106"/>
      <c r="D373" s="3"/>
      <c r="E373" s="6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69"/>
      <c r="B374" s="69"/>
      <c r="C374" s="106"/>
      <c r="D374" s="3"/>
      <c r="E374" s="6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69"/>
      <c r="B375" s="69"/>
      <c r="C375" s="106"/>
      <c r="D375" s="3"/>
      <c r="E375" s="6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69"/>
      <c r="B376" s="69"/>
      <c r="C376" s="106"/>
      <c r="D376" s="3"/>
      <c r="E376" s="6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69"/>
      <c r="B377" s="69"/>
      <c r="C377" s="106"/>
      <c r="D377" s="3"/>
      <c r="E377" s="6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69"/>
      <c r="B378" s="69"/>
      <c r="C378" s="106"/>
      <c r="D378" s="3"/>
      <c r="E378" s="6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69"/>
      <c r="B379" s="69"/>
      <c r="C379" s="106"/>
      <c r="D379" s="3"/>
      <c r="E379" s="6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69"/>
      <c r="B380" s="69"/>
      <c r="C380" s="106"/>
      <c r="D380" s="3"/>
      <c r="E380" s="6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69"/>
      <c r="B381" s="69"/>
      <c r="C381" s="106"/>
      <c r="D381" s="3"/>
      <c r="E381" s="6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69"/>
      <c r="B382" s="69"/>
      <c r="C382" s="106"/>
      <c r="D382" s="3"/>
      <c r="E382" s="6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69"/>
      <c r="B383" s="69"/>
      <c r="C383" s="106"/>
      <c r="D383" s="3"/>
      <c r="E383" s="6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69"/>
      <c r="B384" s="69"/>
      <c r="C384" s="106"/>
      <c r="D384" s="3"/>
      <c r="E384" s="6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69"/>
      <c r="B385" s="69"/>
      <c r="C385" s="106"/>
      <c r="D385" s="3"/>
      <c r="E385" s="6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69"/>
      <c r="B386" s="69"/>
      <c r="C386" s="106"/>
      <c r="D386" s="3"/>
      <c r="E386" s="6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69"/>
      <c r="B387" s="69"/>
      <c r="C387" s="106"/>
      <c r="D387" s="3"/>
      <c r="E387" s="6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69"/>
      <c r="B388" s="69"/>
      <c r="C388" s="106"/>
      <c r="D388" s="3"/>
      <c r="E388" s="6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69"/>
      <c r="B389" s="69"/>
      <c r="C389" s="106"/>
      <c r="D389" s="3"/>
      <c r="E389" s="6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69"/>
      <c r="B390" s="69"/>
      <c r="C390" s="106"/>
      <c r="D390" s="3"/>
      <c r="E390" s="6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69"/>
      <c r="B391" s="69"/>
      <c r="C391" s="106"/>
      <c r="D391" s="3"/>
      <c r="E391" s="6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69"/>
      <c r="B392" s="69"/>
      <c r="C392" s="106"/>
      <c r="D392" s="3"/>
      <c r="E392" s="6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69"/>
      <c r="B393" s="69"/>
      <c r="C393" s="106"/>
      <c r="D393" s="3"/>
      <c r="E393" s="6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69"/>
      <c r="B394" s="69"/>
      <c r="C394" s="106"/>
      <c r="D394" s="3"/>
      <c r="E394" s="6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69"/>
      <c r="B395" s="69"/>
      <c r="C395" s="106"/>
      <c r="D395" s="3"/>
      <c r="E395" s="6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69"/>
      <c r="B396" s="69"/>
      <c r="C396" s="106"/>
      <c r="D396" s="3"/>
      <c r="E396" s="6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69"/>
      <c r="B397" s="69"/>
      <c r="C397" s="106"/>
      <c r="D397" s="3"/>
      <c r="E397" s="6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69"/>
      <c r="B398" s="69"/>
      <c r="C398" s="106"/>
      <c r="D398" s="3"/>
      <c r="E398" s="6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69"/>
      <c r="B399" s="69"/>
      <c r="C399" s="106"/>
      <c r="D399" s="3"/>
      <c r="E399" s="6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69"/>
      <c r="B400" s="69"/>
      <c r="C400" s="106"/>
      <c r="D400" s="3"/>
      <c r="E400" s="6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69"/>
      <c r="B401" s="69"/>
      <c r="C401" s="106"/>
      <c r="D401" s="3"/>
      <c r="E401" s="6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69"/>
      <c r="B402" s="69"/>
      <c r="C402" s="106"/>
      <c r="D402" s="3"/>
      <c r="E402" s="6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69"/>
      <c r="B403" s="69"/>
      <c r="C403" s="106"/>
      <c r="D403" s="3"/>
      <c r="E403" s="6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69"/>
      <c r="B404" s="69"/>
      <c r="C404" s="106"/>
      <c r="D404" s="3"/>
      <c r="E404" s="6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69"/>
      <c r="B405" s="69"/>
      <c r="C405" s="106"/>
      <c r="D405" s="3"/>
      <c r="E405" s="6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69"/>
      <c r="B406" s="69"/>
      <c r="C406" s="106"/>
      <c r="D406" s="3"/>
      <c r="E406" s="6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69"/>
      <c r="B407" s="69"/>
      <c r="C407" s="106"/>
      <c r="D407" s="3"/>
      <c r="E407" s="6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69"/>
      <c r="B408" s="69"/>
      <c r="C408" s="106"/>
      <c r="D408" s="3"/>
      <c r="E408" s="6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69"/>
      <c r="B409" s="69"/>
      <c r="C409" s="106"/>
      <c r="D409" s="3"/>
      <c r="E409" s="6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69"/>
      <c r="B410" s="69"/>
      <c r="C410" s="106"/>
      <c r="D410" s="3"/>
      <c r="E410" s="6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69"/>
      <c r="B411" s="69"/>
      <c r="C411" s="106"/>
      <c r="D411" s="3"/>
      <c r="E411" s="6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69"/>
      <c r="B412" s="69"/>
      <c r="C412" s="106"/>
      <c r="D412" s="3"/>
      <c r="E412" s="6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69"/>
      <c r="B413" s="69"/>
      <c r="C413" s="106"/>
      <c r="D413" s="3"/>
      <c r="E413" s="6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69"/>
      <c r="B414" s="69"/>
      <c r="C414" s="106"/>
      <c r="D414" s="3"/>
      <c r="E414" s="6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69"/>
      <c r="B415" s="69"/>
      <c r="C415" s="106"/>
      <c r="D415" s="3"/>
      <c r="E415" s="6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69"/>
      <c r="B416" s="69"/>
      <c r="C416" s="106"/>
      <c r="D416" s="3"/>
      <c r="E416" s="6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69"/>
      <c r="B417" s="69"/>
      <c r="C417" s="106"/>
      <c r="D417" s="3"/>
      <c r="E417" s="6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69"/>
      <c r="B418" s="69"/>
      <c r="C418" s="106"/>
      <c r="D418" s="3"/>
      <c r="E418" s="6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69"/>
      <c r="B419" s="69"/>
      <c r="C419" s="106"/>
      <c r="D419" s="3"/>
      <c r="E419" s="6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69"/>
      <c r="B420" s="69"/>
      <c r="C420" s="106"/>
      <c r="D420" s="3"/>
      <c r="E420" s="6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69"/>
      <c r="B421" s="69"/>
      <c r="C421" s="106"/>
      <c r="D421" s="3"/>
      <c r="E421" s="6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69"/>
      <c r="B422" s="69"/>
      <c r="C422" s="106"/>
      <c r="D422" s="3"/>
      <c r="E422" s="6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69"/>
      <c r="B423" s="69"/>
      <c r="C423" s="106"/>
      <c r="D423" s="3"/>
      <c r="E423" s="6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69"/>
      <c r="B424" s="69"/>
      <c r="C424" s="106"/>
      <c r="D424" s="3"/>
      <c r="E424" s="6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69"/>
      <c r="B425" s="69"/>
      <c r="C425" s="106"/>
      <c r="D425" s="3"/>
      <c r="E425" s="6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69"/>
      <c r="B426" s="69"/>
      <c r="C426" s="106"/>
      <c r="D426" s="3"/>
      <c r="E426" s="6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69"/>
      <c r="B427" s="69"/>
      <c r="C427" s="106"/>
      <c r="D427" s="3"/>
      <c r="E427" s="6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69"/>
      <c r="B428" s="69"/>
      <c r="C428" s="106"/>
      <c r="D428" s="3"/>
      <c r="E428" s="6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69"/>
      <c r="B429" s="69"/>
      <c r="C429" s="106"/>
      <c r="D429" s="3"/>
      <c r="E429" s="6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69"/>
      <c r="B430" s="69"/>
      <c r="C430" s="106"/>
      <c r="D430" s="3"/>
      <c r="E430" s="6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69"/>
      <c r="B431" s="69"/>
      <c r="C431" s="106"/>
      <c r="D431" s="3"/>
      <c r="E431" s="6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69"/>
      <c r="B432" s="69"/>
      <c r="C432" s="106"/>
      <c r="D432" s="3"/>
      <c r="E432" s="6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69"/>
      <c r="B433" s="69"/>
      <c r="C433" s="106"/>
      <c r="D433" s="3"/>
      <c r="E433" s="6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69"/>
      <c r="B434" s="69"/>
      <c r="C434" s="106"/>
      <c r="D434" s="3"/>
      <c r="E434" s="6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69"/>
      <c r="B435" s="69"/>
      <c r="C435" s="106"/>
      <c r="D435" s="3"/>
      <c r="E435" s="6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69"/>
      <c r="B436" s="69"/>
      <c r="C436" s="106"/>
      <c r="D436" s="3"/>
      <c r="E436" s="6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69"/>
      <c r="B437" s="69"/>
      <c r="C437" s="106"/>
      <c r="D437" s="3"/>
      <c r="E437" s="6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69"/>
      <c r="B438" s="69"/>
      <c r="C438" s="106"/>
      <c r="D438" s="3"/>
      <c r="E438" s="6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69"/>
      <c r="B439" s="69"/>
      <c r="C439" s="106"/>
      <c r="D439" s="3"/>
      <c r="E439" s="6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69"/>
      <c r="B440" s="69"/>
      <c r="C440" s="106"/>
      <c r="D440" s="3"/>
      <c r="E440" s="6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69"/>
      <c r="B441" s="69"/>
      <c r="C441" s="106"/>
      <c r="D441" s="3"/>
      <c r="E441" s="6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69"/>
      <c r="B442" s="69"/>
      <c r="C442" s="106"/>
      <c r="D442" s="3"/>
      <c r="E442" s="6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69"/>
      <c r="B443" s="69"/>
      <c r="C443" s="106"/>
      <c r="D443" s="3"/>
      <c r="E443" s="6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69"/>
      <c r="B444" s="69"/>
      <c r="C444" s="106"/>
      <c r="D444" s="3"/>
      <c r="E444" s="6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69"/>
      <c r="B445" s="69"/>
      <c r="C445" s="106"/>
      <c r="D445" s="3"/>
      <c r="E445" s="6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69"/>
      <c r="B446" s="69"/>
      <c r="C446" s="106"/>
      <c r="D446" s="3"/>
      <c r="E446" s="6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69"/>
      <c r="B447" s="69"/>
      <c r="C447" s="106"/>
      <c r="D447" s="3"/>
      <c r="E447" s="6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69"/>
      <c r="B448" s="69"/>
      <c r="C448" s="106"/>
      <c r="D448" s="3"/>
      <c r="E448" s="6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69"/>
      <c r="B449" s="69"/>
      <c r="C449" s="106"/>
      <c r="D449" s="3"/>
      <c r="E449" s="6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69"/>
      <c r="B450" s="69"/>
      <c r="C450" s="106"/>
      <c r="D450" s="3"/>
      <c r="E450" s="6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69"/>
      <c r="B451" s="69"/>
      <c r="C451" s="106"/>
      <c r="D451" s="3"/>
      <c r="E451" s="6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69"/>
      <c r="B452" s="69"/>
      <c r="C452" s="106"/>
      <c r="D452" s="3"/>
      <c r="E452" s="6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69"/>
      <c r="B453" s="69"/>
      <c r="C453" s="106"/>
      <c r="D453" s="3"/>
      <c r="E453" s="6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69"/>
      <c r="B454" s="69"/>
      <c r="C454" s="106"/>
      <c r="D454" s="3"/>
      <c r="E454" s="6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69"/>
      <c r="B455" s="69"/>
      <c r="C455" s="106"/>
      <c r="D455" s="3"/>
      <c r="E455" s="6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69"/>
      <c r="B456" s="69"/>
      <c r="C456" s="106"/>
      <c r="D456" s="3"/>
      <c r="E456" s="6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69"/>
      <c r="B457" s="69"/>
      <c r="C457" s="106"/>
      <c r="D457" s="3"/>
      <c r="E457" s="6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69"/>
      <c r="B458" s="69"/>
      <c r="C458" s="106"/>
      <c r="D458" s="3"/>
      <c r="E458" s="6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69"/>
      <c r="B459" s="69"/>
      <c r="C459" s="106"/>
      <c r="D459" s="3"/>
      <c r="E459" s="6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69"/>
      <c r="B460" s="69"/>
      <c r="C460" s="106"/>
      <c r="D460" s="3"/>
      <c r="E460" s="6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69"/>
      <c r="B461" s="69"/>
      <c r="C461" s="106"/>
      <c r="D461" s="3"/>
      <c r="E461" s="6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69"/>
      <c r="B462" s="69"/>
      <c r="C462" s="106"/>
      <c r="D462" s="3"/>
      <c r="E462" s="6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69"/>
      <c r="B463" s="69"/>
      <c r="C463" s="106"/>
      <c r="D463" s="3"/>
      <c r="E463" s="6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69"/>
      <c r="B464" s="69"/>
      <c r="C464" s="106"/>
      <c r="D464" s="3"/>
      <c r="E464" s="6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69"/>
      <c r="B465" s="69"/>
      <c r="C465" s="106"/>
      <c r="D465" s="3"/>
      <c r="E465" s="6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69"/>
      <c r="B466" s="69"/>
      <c r="C466" s="106"/>
      <c r="D466" s="3"/>
      <c r="E466" s="6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69"/>
      <c r="B467" s="69"/>
      <c r="C467" s="106"/>
      <c r="D467" s="3"/>
      <c r="E467" s="6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69"/>
      <c r="B468" s="69"/>
      <c r="C468" s="106"/>
      <c r="D468" s="3"/>
      <c r="E468" s="6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69"/>
      <c r="B469" s="69"/>
      <c r="C469" s="106"/>
      <c r="D469" s="3"/>
      <c r="E469" s="6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69"/>
      <c r="B470" s="69"/>
      <c r="C470" s="106"/>
      <c r="D470" s="3"/>
      <c r="E470" s="6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69"/>
      <c r="B471" s="69"/>
      <c r="C471" s="106"/>
      <c r="D471" s="3"/>
      <c r="E471" s="6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69"/>
      <c r="B472" s="69"/>
      <c r="C472" s="106"/>
      <c r="D472" s="3"/>
      <c r="E472" s="6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69"/>
      <c r="B473" s="69"/>
      <c r="C473" s="106"/>
      <c r="D473" s="3"/>
      <c r="E473" s="6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69"/>
      <c r="B474" s="69"/>
      <c r="C474" s="106"/>
      <c r="D474" s="3"/>
      <c r="E474" s="6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69"/>
      <c r="B475" s="69"/>
      <c r="C475" s="106"/>
      <c r="D475" s="3"/>
      <c r="E475" s="6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69"/>
      <c r="B476" s="69"/>
      <c r="C476" s="106"/>
      <c r="D476" s="3"/>
      <c r="E476" s="6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69"/>
      <c r="B477" s="69"/>
      <c r="C477" s="106"/>
      <c r="D477" s="3"/>
      <c r="E477" s="6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69"/>
      <c r="B478" s="69"/>
      <c r="C478" s="106"/>
      <c r="D478" s="3"/>
      <c r="E478" s="6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69"/>
      <c r="B479" s="69"/>
      <c r="C479" s="106"/>
      <c r="D479" s="3"/>
      <c r="E479" s="6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69"/>
      <c r="B480" s="69"/>
      <c r="C480" s="106"/>
      <c r="D480" s="3"/>
      <c r="E480" s="6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69"/>
      <c r="B481" s="69"/>
      <c r="C481" s="106"/>
      <c r="D481" s="3"/>
      <c r="E481" s="6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69"/>
      <c r="B482" s="69"/>
      <c r="C482" s="106"/>
      <c r="D482" s="3"/>
      <c r="E482" s="6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69"/>
      <c r="B483" s="69"/>
      <c r="C483" s="106"/>
      <c r="D483" s="3"/>
      <c r="E483" s="6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69"/>
      <c r="B484" s="69"/>
      <c r="C484" s="106"/>
      <c r="D484" s="3"/>
      <c r="E484" s="6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69"/>
      <c r="B485" s="69"/>
      <c r="C485" s="106"/>
      <c r="D485" s="3"/>
      <c r="E485" s="6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69"/>
      <c r="B486" s="69"/>
      <c r="C486" s="106"/>
      <c r="D486" s="3"/>
      <c r="E486" s="6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69"/>
      <c r="B487" s="69"/>
      <c r="C487" s="106"/>
      <c r="D487" s="3"/>
      <c r="E487" s="6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69"/>
      <c r="B488" s="69"/>
      <c r="C488" s="106"/>
      <c r="D488" s="3"/>
      <c r="E488" s="6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69"/>
      <c r="B489" s="69"/>
      <c r="C489" s="106"/>
      <c r="D489" s="3"/>
      <c r="E489" s="6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69"/>
      <c r="B490" s="69"/>
      <c r="C490" s="106"/>
      <c r="D490" s="3"/>
      <c r="E490" s="6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69"/>
      <c r="B491" s="69"/>
      <c r="C491" s="106"/>
      <c r="D491" s="3"/>
      <c r="E491" s="6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69"/>
      <c r="B492" s="69"/>
      <c r="C492" s="106"/>
      <c r="D492" s="3"/>
      <c r="E492" s="6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69"/>
      <c r="B493" s="69"/>
      <c r="C493" s="106"/>
      <c r="D493" s="3"/>
      <c r="E493" s="6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69"/>
      <c r="B494" s="69"/>
      <c r="C494" s="106"/>
      <c r="D494" s="3"/>
      <c r="E494" s="6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69"/>
      <c r="B495" s="69"/>
      <c r="C495" s="106"/>
      <c r="D495" s="3"/>
      <c r="E495" s="6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69"/>
      <c r="B496" s="69"/>
      <c r="C496" s="106"/>
      <c r="D496" s="3"/>
      <c r="E496" s="6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69"/>
      <c r="B497" s="69"/>
      <c r="C497" s="106"/>
      <c r="D497" s="3"/>
      <c r="E497" s="6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69"/>
      <c r="B498" s="69"/>
      <c r="C498" s="106"/>
      <c r="D498" s="3"/>
      <c r="E498" s="6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69"/>
      <c r="B499" s="69"/>
      <c r="C499" s="106"/>
      <c r="D499" s="3"/>
      <c r="E499" s="6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69"/>
      <c r="B500" s="69"/>
      <c r="C500" s="106"/>
      <c r="D500" s="3"/>
      <c r="E500" s="6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69"/>
      <c r="B501" s="69"/>
      <c r="C501" s="106"/>
      <c r="D501" s="3"/>
      <c r="E501" s="6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69"/>
      <c r="B502" s="69"/>
      <c r="C502" s="106"/>
      <c r="D502" s="3"/>
      <c r="E502" s="6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69"/>
      <c r="B503" s="69"/>
      <c r="C503" s="106"/>
      <c r="D503" s="3"/>
      <c r="E503" s="6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69"/>
      <c r="B504" s="69"/>
      <c r="C504" s="106"/>
      <c r="D504" s="3"/>
      <c r="E504" s="6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69"/>
      <c r="B505" s="69"/>
      <c r="C505" s="106"/>
      <c r="D505" s="3"/>
      <c r="E505" s="6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69"/>
      <c r="B506" s="69"/>
      <c r="C506" s="106"/>
      <c r="D506" s="3"/>
      <c r="E506" s="6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69"/>
      <c r="B507" s="69"/>
      <c r="C507" s="106"/>
      <c r="D507" s="3"/>
      <c r="E507" s="6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69"/>
      <c r="B508" s="69"/>
      <c r="C508" s="106"/>
      <c r="D508" s="3"/>
      <c r="E508" s="6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69"/>
      <c r="B509" s="69"/>
      <c r="C509" s="106"/>
      <c r="D509" s="3"/>
      <c r="E509" s="6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69"/>
      <c r="B510" s="69"/>
      <c r="C510" s="106"/>
      <c r="D510" s="3"/>
      <c r="E510" s="6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69"/>
      <c r="B511" s="69"/>
      <c r="C511" s="106"/>
      <c r="D511" s="3"/>
      <c r="E511" s="6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69"/>
      <c r="B512" s="69"/>
      <c r="C512" s="106"/>
      <c r="D512" s="3"/>
      <c r="E512" s="6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69"/>
      <c r="B513" s="69"/>
      <c r="C513" s="106"/>
      <c r="D513" s="3"/>
      <c r="E513" s="6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69"/>
      <c r="B514" s="69"/>
      <c r="C514" s="106"/>
      <c r="D514" s="3"/>
      <c r="E514" s="6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69"/>
      <c r="B515" s="69"/>
      <c r="C515" s="106"/>
      <c r="D515" s="3"/>
      <c r="E515" s="6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69"/>
      <c r="B516" s="69"/>
      <c r="C516" s="106"/>
      <c r="D516" s="3"/>
      <c r="E516" s="6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69"/>
      <c r="B517" s="69"/>
      <c r="C517" s="106"/>
      <c r="D517" s="3"/>
      <c r="E517" s="6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69"/>
      <c r="B518" s="69"/>
      <c r="C518" s="106"/>
      <c r="D518" s="3"/>
      <c r="E518" s="6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69"/>
      <c r="B519" s="69"/>
      <c r="C519" s="106"/>
      <c r="D519" s="3"/>
      <c r="E519" s="6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69"/>
      <c r="B520" s="69"/>
      <c r="C520" s="106"/>
      <c r="D520" s="3"/>
      <c r="E520" s="6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69"/>
      <c r="B521" s="69"/>
      <c r="C521" s="106"/>
      <c r="D521" s="3"/>
      <c r="E521" s="6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69"/>
      <c r="B522" s="69"/>
      <c r="C522" s="106"/>
      <c r="D522" s="3"/>
      <c r="E522" s="6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69"/>
      <c r="B523" s="69"/>
      <c r="C523" s="106"/>
      <c r="D523" s="3"/>
      <c r="E523" s="6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69"/>
      <c r="B524" s="69"/>
      <c r="C524" s="106"/>
      <c r="D524" s="3"/>
      <c r="E524" s="6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69"/>
      <c r="B525" s="69"/>
      <c r="C525" s="106"/>
      <c r="D525" s="3"/>
      <c r="E525" s="6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69"/>
      <c r="B526" s="69"/>
      <c r="C526" s="106"/>
      <c r="D526" s="3"/>
      <c r="E526" s="6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69"/>
      <c r="B527" s="69"/>
      <c r="C527" s="106"/>
      <c r="D527" s="3"/>
      <c r="E527" s="6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69"/>
      <c r="B528" s="69"/>
      <c r="C528" s="106"/>
      <c r="D528" s="3"/>
      <c r="E528" s="6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69"/>
      <c r="B529" s="69"/>
      <c r="C529" s="106"/>
      <c r="D529" s="3"/>
      <c r="E529" s="6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69"/>
      <c r="B530" s="69"/>
      <c r="C530" s="106"/>
      <c r="D530" s="3"/>
      <c r="E530" s="6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69"/>
      <c r="B531" s="69"/>
      <c r="C531" s="106"/>
      <c r="D531" s="3"/>
      <c r="E531" s="6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69"/>
      <c r="B532" s="69"/>
      <c r="C532" s="106"/>
      <c r="D532" s="3"/>
      <c r="E532" s="6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69"/>
      <c r="B533" s="69"/>
      <c r="C533" s="106"/>
      <c r="D533" s="3"/>
      <c r="E533" s="6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69"/>
      <c r="B534" s="69"/>
      <c r="C534" s="106"/>
      <c r="D534" s="3"/>
      <c r="E534" s="6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69"/>
      <c r="B535" s="69"/>
      <c r="C535" s="106"/>
      <c r="D535" s="3"/>
      <c r="E535" s="6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69"/>
      <c r="B536" s="69"/>
      <c r="C536" s="106"/>
      <c r="D536" s="3"/>
      <c r="E536" s="6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69"/>
      <c r="B537" s="69"/>
      <c r="C537" s="106"/>
      <c r="D537" s="3"/>
      <c r="E537" s="6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69"/>
      <c r="B538" s="69"/>
      <c r="C538" s="106"/>
      <c r="D538" s="3"/>
      <c r="E538" s="6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69"/>
      <c r="B539" s="69"/>
      <c r="C539" s="106"/>
      <c r="D539" s="3"/>
      <c r="E539" s="6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69"/>
      <c r="B540" s="69"/>
      <c r="C540" s="106"/>
      <c r="D540" s="3"/>
      <c r="E540" s="6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69"/>
      <c r="B541" s="69"/>
      <c r="C541" s="106"/>
      <c r="D541" s="3"/>
      <c r="E541" s="6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69"/>
      <c r="B542" s="69"/>
      <c r="C542" s="106"/>
      <c r="D542" s="3"/>
      <c r="E542" s="6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69"/>
      <c r="B543" s="69"/>
      <c r="C543" s="106"/>
      <c r="D543" s="3"/>
      <c r="E543" s="6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69"/>
      <c r="B544" s="69"/>
      <c r="C544" s="106"/>
      <c r="D544" s="3"/>
      <c r="E544" s="6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69"/>
      <c r="B545" s="69"/>
      <c r="C545" s="106"/>
      <c r="D545" s="3"/>
      <c r="E545" s="6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69"/>
      <c r="B546" s="69"/>
      <c r="C546" s="106"/>
      <c r="D546" s="3"/>
      <c r="E546" s="6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69"/>
      <c r="B547" s="69"/>
      <c r="C547" s="106"/>
      <c r="D547" s="3"/>
      <c r="E547" s="6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69"/>
      <c r="B548" s="69"/>
      <c r="C548" s="106"/>
      <c r="D548" s="3"/>
      <c r="E548" s="6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69"/>
      <c r="B549" s="69"/>
      <c r="C549" s="106"/>
      <c r="D549" s="3"/>
      <c r="E549" s="6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69"/>
      <c r="B550" s="69"/>
      <c r="C550" s="106"/>
      <c r="D550" s="3"/>
      <c r="E550" s="6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69"/>
      <c r="B551" s="69"/>
      <c r="C551" s="106"/>
      <c r="D551" s="3"/>
      <c r="E551" s="6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69"/>
      <c r="B552" s="69"/>
      <c r="C552" s="106"/>
      <c r="D552" s="3"/>
      <c r="E552" s="6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69"/>
      <c r="B553" s="69"/>
      <c r="C553" s="106"/>
      <c r="D553" s="3"/>
      <c r="E553" s="6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69"/>
      <c r="B554" s="69"/>
      <c r="C554" s="106"/>
      <c r="D554" s="3"/>
      <c r="E554" s="6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69"/>
      <c r="B555" s="69"/>
      <c r="C555" s="106"/>
      <c r="D555" s="3"/>
      <c r="E555" s="6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69"/>
      <c r="B556" s="69"/>
      <c r="C556" s="106"/>
      <c r="D556" s="3"/>
      <c r="E556" s="6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69"/>
      <c r="B557" s="69"/>
      <c r="C557" s="106"/>
      <c r="D557" s="3"/>
      <c r="E557" s="6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69"/>
      <c r="B558" s="69"/>
      <c r="C558" s="106"/>
      <c r="D558" s="3"/>
      <c r="E558" s="6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69"/>
      <c r="B559" s="69"/>
      <c r="C559" s="106"/>
      <c r="D559" s="3"/>
      <c r="E559" s="6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69"/>
      <c r="B560" s="69"/>
      <c r="C560" s="106"/>
      <c r="D560" s="3"/>
      <c r="E560" s="6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69"/>
      <c r="B561" s="69"/>
      <c r="C561" s="106"/>
      <c r="D561" s="3"/>
      <c r="E561" s="6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69"/>
      <c r="B562" s="69"/>
      <c r="C562" s="106"/>
      <c r="D562" s="3"/>
      <c r="E562" s="6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69"/>
      <c r="B563" s="69"/>
      <c r="C563" s="106"/>
      <c r="D563" s="3"/>
      <c r="E563" s="6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69"/>
      <c r="B564" s="69"/>
      <c r="C564" s="106"/>
      <c r="D564" s="3"/>
      <c r="E564" s="6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69"/>
      <c r="B565" s="69"/>
      <c r="C565" s="106"/>
      <c r="D565" s="3"/>
      <c r="E565" s="6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69"/>
      <c r="B566" s="69"/>
      <c r="C566" s="106"/>
      <c r="D566" s="3"/>
      <c r="E566" s="6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69"/>
      <c r="B567" s="69"/>
      <c r="C567" s="106"/>
      <c r="D567" s="3"/>
      <c r="E567" s="6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69"/>
      <c r="B568" s="69"/>
      <c r="C568" s="106"/>
      <c r="D568" s="3"/>
      <c r="E568" s="6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69"/>
      <c r="B569" s="69"/>
      <c r="C569" s="106"/>
      <c r="D569" s="3"/>
      <c r="E569" s="6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69"/>
      <c r="B570" s="69"/>
      <c r="C570" s="106"/>
      <c r="D570" s="3"/>
      <c r="E570" s="6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69"/>
      <c r="B571" s="69"/>
      <c r="C571" s="106"/>
      <c r="D571" s="3"/>
      <c r="E571" s="6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69"/>
      <c r="B572" s="69"/>
      <c r="C572" s="106"/>
      <c r="D572" s="3"/>
      <c r="E572" s="6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69"/>
      <c r="B573" s="69"/>
      <c r="C573" s="106"/>
      <c r="D573" s="3"/>
      <c r="E573" s="6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69"/>
      <c r="B574" s="69"/>
      <c r="C574" s="106"/>
      <c r="D574" s="3"/>
      <c r="E574" s="6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69"/>
      <c r="B575" s="69"/>
      <c r="C575" s="106"/>
      <c r="D575" s="3"/>
      <c r="E575" s="6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69"/>
      <c r="B576" s="69"/>
      <c r="C576" s="106"/>
      <c r="D576" s="3"/>
      <c r="E576" s="6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69"/>
      <c r="B577" s="69"/>
      <c r="C577" s="106"/>
      <c r="D577" s="3"/>
      <c r="E577" s="6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69"/>
      <c r="B578" s="69"/>
      <c r="C578" s="106"/>
      <c r="D578" s="3"/>
      <c r="E578" s="6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69"/>
      <c r="B579" s="69"/>
      <c r="C579" s="106"/>
      <c r="D579" s="3"/>
      <c r="E579" s="6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69"/>
      <c r="B580" s="69"/>
      <c r="C580" s="106"/>
      <c r="D580" s="3"/>
      <c r="E580" s="6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69"/>
      <c r="B581" s="69"/>
      <c r="C581" s="106"/>
      <c r="D581" s="3"/>
      <c r="E581" s="6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69"/>
      <c r="B582" s="69"/>
      <c r="C582" s="106"/>
      <c r="D582" s="3"/>
      <c r="E582" s="6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69"/>
      <c r="B583" s="69"/>
      <c r="C583" s="106"/>
      <c r="D583" s="3"/>
      <c r="E583" s="6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69"/>
      <c r="B584" s="69"/>
      <c r="C584" s="106"/>
      <c r="D584" s="3"/>
      <c r="E584" s="6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69"/>
      <c r="B585" s="69"/>
      <c r="C585" s="106"/>
      <c r="D585" s="3"/>
      <c r="E585" s="6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69"/>
      <c r="B586" s="69"/>
      <c r="C586" s="106"/>
      <c r="D586" s="3"/>
      <c r="E586" s="6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69"/>
      <c r="B587" s="69"/>
      <c r="C587" s="106"/>
      <c r="D587" s="3"/>
      <c r="E587" s="6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69"/>
      <c r="B588" s="69"/>
      <c r="C588" s="106"/>
      <c r="D588" s="3"/>
      <c r="E588" s="6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69"/>
      <c r="B589" s="69"/>
      <c r="C589" s="106"/>
      <c r="D589" s="3"/>
      <c r="E589" s="6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69"/>
      <c r="B590" s="69"/>
      <c r="C590" s="106"/>
      <c r="D590" s="3"/>
      <c r="E590" s="6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69"/>
      <c r="B591" s="69"/>
      <c r="C591" s="106"/>
      <c r="D591" s="3"/>
      <c r="E591" s="6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69"/>
      <c r="B592" s="69"/>
      <c r="C592" s="106"/>
      <c r="D592" s="3"/>
      <c r="E592" s="6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69"/>
      <c r="B593" s="69"/>
      <c r="C593" s="106"/>
      <c r="D593" s="3"/>
      <c r="E593" s="6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69"/>
      <c r="B594" s="69"/>
      <c r="C594" s="106"/>
      <c r="D594" s="3"/>
      <c r="E594" s="6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69"/>
      <c r="B595" s="69"/>
      <c r="C595" s="106"/>
      <c r="D595" s="3"/>
      <c r="E595" s="6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69"/>
      <c r="B596" s="69"/>
      <c r="C596" s="106"/>
      <c r="D596" s="3"/>
      <c r="E596" s="6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69"/>
      <c r="B597" s="69"/>
      <c r="C597" s="106"/>
      <c r="D597" s="3"/>
      <c r="E597" s="6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69"/>
      <c r="B598" s="69"/>
      <c r="C598" s="106"/>
      <c r="D598" s="3"/>
      <c r="E598" s="6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69"/>
      <c r="B599" s="69"/>
      <c r="C599" s="106"/>
      <c r="D599" s="3"/>
      <c r="E599" s="6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69"/>
      <c r="B600" s="69"/>
      <c r="C600" s="106"/>
      <c r="D600" s="3"/>
      <c r="E600" s="6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69"/>
      <c r="B601" s="69"/>
      <c r="C601" s="106"/>
      <c r="D601" s="3"/>
      <c r="E601" s="6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69"/>
      <c r="B602" s="69"/>
      <c r="C602" s="106"/>
      <c r="D602" s="3"/>
      <c r="E602" s="6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69"/>
      <c r="B603" s="69"/>
      <c r="C603" s="106"/>
      <c r="D603" s="3"/>
      <c r="E603" s="6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69"/>
      <c r="B604" s="69"/>
      <c r="C604" s="106"/>
      <c r="D604" s="3"/>
      <c r="E604" s="6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69"/>
      <c r="B605" s="69"/>
      <c r="C605" s="106"/>
      <c r="D605" s="3"/>
      <c r="E605" s="6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69"/>
      <c r="B606" s="69"/>
      <c r="C606" s="106"/>
      <c r="D606" s="3"/>
      <c r="E606" s="6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69"/>
      <c r="B607" s="69"/>
      <c r="C607" s="106"/>
      <c r="D607" s="3"/>
      <c r="E607" s="6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69"/>
      <c r="B608" s="69"/>
      <c r="C608" s="106"/>
      <c r="D608" s="3"/>
      <c r="E608" s="6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69"/>
      <c r="B609" s="69"/>
      <c r="C609" s="106"/>
      <c r="D609" s="3"/>
      <c r="E609" s="6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69"/>
      <c r="B610" s="69"/>
      <c r="C610" s="106"/>
      <c r="D610" s="3"/>
      <c r="E610" s="6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69"/>
      <c r="B611" s="69"/>
      <c r="C611" s="106"/>
      <c r="D611" s="3"/>
      <c r="E611" s="6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69"/>
      <c r="B612" s="69"/>
      <c r="C612" s="106"/>
      <c r="D612" s="3"/>
      <c r="E612" s="6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69"/>
      <c r="B613" s="69"/>
      <c r="C613" s="106"/>
      <c r="D613" s="3"/>
      <c r="E613" s="6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69"/>
      <c r="B614" s="69"/>
      <c r="C614" s="106"/>
      <c r="D614" s="3"/>
      <c r="E614" s="6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69"/>
      <c r="B615" s="69"/>
      <c r="C615" s="106"/>
      <c r="D615" s="3"/>
      <c r="E615" s="6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69"/>
      <c r="B616" s="69"/>
      <c r="C616" s="106"/>
      <c r="D616" s="3"/>
      <c r="E616" s="6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69"/>
      <c r="B617" s="69"/>
      <c r="C617" s="106"/>
      <c r="D617" s="3"/>
      <c r="E617" s="6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69"/>
      <c r="B618" s="69"/>
      <c r="C618" s="106"/>
      <c r="D618" s="3"/>
      <c r="E618" s="6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69"/>
      <c r="B619" s="69"/>
      <c r="C619" s="106"/>
      <c r="D619" s="3"/>
      <c r="E619" s="6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69"/>
      <c r="B620" s="69"/>
      <c r="C620" s="106"/>
      <c r="D620" s="3"/>
      <c r="E620" s="6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69"/>
      <c r="B621" s="69"/>
      <c r="C621" s="106"/>
      <c r="D621" s="3"/>
      <c r="E621" s="6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69"/>
      <c r="B622" s="69"/>
      <c r="C622" s="106"/>
      <c r="D622" s="3"/>
      <c r="E622" s="6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69"/>
      <c r="B623" s="69"/>
      <c r="C623" s="106"/>
      <c r="D623" s="3"/>
      <c r="E623" s="6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69"/>
      <c r="B624" s="69"/>
      <c r="C624" s="106"/>
      <c r="D624" s="3"/>
      <c r="E624" s="6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69"/>
      <c r="B625" s="69"/>
      <c r="C625" s="106"/>
      <c r="D625" s="3"/>
      <c r="E625" s="6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69"/>
      <c r="B626" s="69"/>
      <c r="C626" s="106"/>
      <c r="D626" s="3"/>
      <c r="E626" s="6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69"/>
      <c r="B627" s="69"/>
      <c r="C627" s="106"/>
      <c r="D627" s="3"/>
      <c r="E627" s="6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69"/>
      <c r="B628" s="69"/>
      <c r="C628" s="106"/>
      <c r="D628" s="3"/>
      <c r="E628" s="6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69"/>
      <c r="B629" s="69"/>
      <c r="C629" s="106"/>
      <c r="D629" s="3"/>
      <c r="E629" s="6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69"/>
      <c r="B630" s="69"/>
      <c r="C630" s="106"/>
      <c r="D630" s="3"/>
      <c r="E630" s="6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69"/>
      <c r="B631" s="69"/>
      <c r="C631" s="106"/>
      <c r="D631" s="3"/>
      <c r="E631" s="6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69"/>
      <c r="B632" s="69"/>
      <c r="C632" s="106"/>
      <c r="D632" s="3"/>
      <c r="E632" s="6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69"/>
      <c r="B633" s="69"/>
      <c r="C633" s="106"/>
      <c r="D633" s="3"/>
      <c r="E633" s="6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69"/>
      <c r="B634" s="69"/>
      <c r="C634" s="106"/>
      <c r="D634" s="3"/>
      <c r="E634" s="6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69"/>
      <c r="B635" s="69"/>
      <c r="C635" s="106"/>
      <c r="D635" s="3"/>
      <c r="E635" s="6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69"/>
      <c r="B636" s="69"/>
      <c r="C636" s="106"/>
      <c r="D636" s="3"/>
      <c r="E636" s="6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69"/>
      <c r="B637" s="69"/>
      <c r="C637" s="106"/>
      <c r="D637" s="3"/>
      <c r="E637" s="6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69"/>
      <c r="B638" s="69"/>
      <c r="C638" s="106"/>
      <c r="D638" s="3"/>
      <c r="E638" s="6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69"/>
      <c r="B639" s="69"/>
      <c r="C639" s="106"/>
      <c r="D639" s="3"/>
      <c r="E639" s="6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69"/>
      <c r="B640" s="69"/>
      <c r="C640" s="106"/>
      <c r="D640" s="3"/>
      <c r="E640" s="6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69"/>
      <c r="B641" s="69"/>
      <c r="C641" s="106"/>
      <c r="D641" s="3"/>
      <c r="E641" s="6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69"/>
      <c r="B642" s="69"/>
      <c r="C642" s="106"/>
      <c r="D642" s="3"/>
      <c r="E642" s="6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69"/>
      <c r="B643" s="69"/>
      <c r="C643" s="106"/>
      <c r="D643" s="3"/>
      <c r="E643" s="6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69"/>
      <c r="B644" s="69"/>
      <c r="C644" s="106"/>
      <c r="D644" s="3"/>
      <c r="E644" s="6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69"/>
      <c r="B645" s="69"/>
      <c r="C645" s="106"/>
      <c r="D645" s="3"/>
      <c r="E645" s="6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69"/>
      <c r="B646" s="69"/>
      <c r="C646" s="106"/>
      <c r="D646" s="3"/>
      <c r="E646" s="6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69"/>
      <c r="B647" s="69"/>
      <c r="C647" s="106"/>
      <c r="D647" s="3"/>
      <c r="E647" s="6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69"/>
      <c r="B648" s="69"/>
      <c r="C648" s="106"/>
      <c r="D648" s="3"/>
      <c r="E648" s="6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69"/>
      <c r="B649" s="69"/>
      <c r="C649" s="106"/>
      <c r="D649" s="3"/>
      <c r="E649" s="6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69"/>
      <c r="B650" s="69"/>
      <c r="C650" s="106"/>
      <c r="D650" s="3"/>
      <c r="E650" s="6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69"/>
      <c r="B651" s="69"/>
      <c r="C651" s="106"/>
      <c r="D651" s="3"/>
      <c r="E651" s="6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69"/>
      <c r="B652" s="69"/>
      <c r="C652" s="106"/>
      <c r="D652" s="3"/>
      <c r="E652" s="6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69"/>
      <c r="B653" s="69"/>
      <c r="C653" s="106"/>
      <c r="D653" s="3"/>
      <c r="E653" s="6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69"/>
      <c r="B654" s="69"/>
      <c r="C654" s="106"/>
      <c r="D654" s="3"/>
      <c r="E654" s="6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69"/>
      <c r="B655" s="69"/>
      <c r="C655" s="106"/>
      <c r="D655" s="3"/>
      <c r="E655" s="6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69"/>
      <c r="B656" s="69"/>
      <c r="C656" s="106"/>
      <c r="D656" s="3"/>
      <c r="E656" s="6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69"/>
      <c r="B657" s="69"/>
      <c r="C657" s="106"/>
      <c r="D657" s="3"/>
      <c r="E657" s="6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69"/>
      <c r="B658" s="69"/>
      <c r="C658" s="106"/>
      <c r="D658" s="3"/>
      <c r="E658" s="6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69"/>
      <c r="B659" s="69"/>
      <c r="C659" s="106"/>
      <c r="D659" s="3"/>
      <c r="E659" s="6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69"/>
      <c r="B660" s="69"/>
      <c r="C660" s="106"/>
      <c r="D660" s="3"/>
      <c r="E660" s="6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69"/>
      <c r="B661" s="69"/>
      <c r="C661" s="106"/>
      <c r="D661" s="3"/>
      <c r="E661" s="6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69"/>
      <c r="B662" s="69"/>
      <c r="C662" s="106"/>
      <c r="D662" s="3"/>
      <c r="E662" s="6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69"/>
      <c r="B663" s="69"/>
      <c r="C663" s="106"/>
      <c r="D663" s="3"/>
      <c r="E663" s="6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69"/>
      <c r="B664" s="69"/>
      <c r="C664" s="106"/>
      <c r="D664" s="3"/>
      <c r="E664" s="6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69"/>
      <c r="B665" s="69"/>
      <c r="C665" s="106"/>
      <c r="D665" s="3"/>
      <c r="E665" s="6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69"/>
      <c r="B666" s="69"/>
      <c r="C666" s="106"/>
      <c r="D666" s="3"/>
      <c r="E666" s="6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69"/>
      <c r="B667" s="69"/>
      <c r="C667" s="106"/>
      <c r="D667" s="3"/>
      <c r="E667" s="6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69"/>
      <c r="B668" s="69"/>
      <c r="C668" s="106"/>
      <c r="D668" s="3"/>
      <c r="E668" s="6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69"/>
      <c r="B669" s="69"/>
      <c r="C669" s="106"/>
      <c r="D669" s="3"/>
      <c r="E669" s="6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69"/>
      <c r="B670" s="69"/>
      <c r="C670" s="106"/>
      <c r="D670" s="3"/>
      <c r="E670" s="6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69"/>
      <c r="B671" s="69"/>
      <c r="C671" s="106"/>
      <c r="D671" s="3"/>
      <c r="E671" s="6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69"/>
      <c r="B672" s="69"/>
      <c r="C672" s="106"/>
      <c r="D672" s="3"/>
      <c r="E672" s="6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69"/>
      <c r="B673" s="69"/>
      <c r="C673" s="106"/>
      <c r="D673" s="3"/>
      <c r="E673" s="6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69"/>
      <c r="B674" s="69"/>
      <c r="C674" s="106"/>
      <c r="D674" s="3"/>
      <c r="E674" s="6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69"/>
      <c r="B675" s="69"/>
      <c r="C675" s="106"/>
      <c r="D675" s="3"/>
      <c r="E675" s="6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69"/>
      <c r="B676" s="69"/>
      <c r="C676" s="106"/>
      <c r="D676" s="3"/>
      <c r="E676" s="6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69"/>
      <c r="B677" s="69"/>
      <c r="C677" s="106"/>
      <c r="D677" s="3"/>
      <c r="E677" s="6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69"/>
      <c r="B678" s="69"/>
      <c r="C678" s="106"/>
      <c r="D678" s="3"/>
      <c r="E678" s="6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69"/>
      <c r="B679" s="69"/>
      <c r="C679" s="106"/>
      <c r="D679" s="3"/>
      <c r="E679" s="6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69"/>
      <c r="B680" s="69"/>
      <c r="C680" s="106"/>
      <c r="D680" s="3"/>
      <c r="E680" s="6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69"/>
      <c r="B681" s="69"/>
      <c r="C681" s="106"/>
      <c r="D681" s="3"/>
      <c r="E681" s="6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69"/>
      <c r="B682" s="69"/>
      <c r="C682" s="106"/>
      <c r="D682" s="3"/>
      <c r="E682" s="6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69"/>
      <c r="B683" s="69"/>
      <c r="C683" s="106"/>
      <c r="D683" s="3"/>
      <c r="E683" s="6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69"/>
      <c r="B684" s="69"/>
      <c r="C684" s="106"/>
      <c r="D684" s="3"/>
      <c r="E684" s="6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69"/>
      <c r="B685" s="69"/>
      <c r="C685" s="106"/>
      <c r="D685" s="3"/>
      <c r="E685" s="6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69"/>
      <c r="B686" s="69"/>
      <c r="C686" s="106"/>
      <c r="D686" s="3"/>
      <c r="E686" s="6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69"/>
      <c r="B687" s="69"/>
      <c r="C687" s="106"/>
      <c r="D687" s="3"/>
      <c r="E687" s="6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69"/>
      <c r="B688" s="69"/>
      <c r="C688" s="106"/>
      <c r="D688" s="3"/>
      <c r="E688" s="6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69"/>
      <c r="B689" s="69"/>
      <c r="C689" s="106"/>
      <c r="D689" s="3"/>
      <c r="E689" s="6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69"/>
      <c r="B690" s="69"/>
      <c r="C690" s="106"/>
      <c r="D690" s="3"/>
      <c r="E690" s="6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69"/>
      <c r="B691" s="69"/>
      <c r="C691" s="106"/>
      <c r="D691" s="3"/>
      <c r="E691" s="6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69"/>
      <c r="B692" s="69"/>
      <c r="C692" s="106"/>
      <c r="D692" s="3"/>
      <c r="E692" s="6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69"/>
      <c r="B693" s="69"/>
      <c r="C693" s="106"/>
      <c r="D693" s="3"/>
      <c r="E693" s="6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69"/>
      <c r="B694" s="69"/>
      <c r="C694" s="106"/>
      <c r="D694" s="3"/>
      <c r="E694" s="6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69"/>
      <c r="B695" s="69"/>
      <c r="C695" s="106"/>
      <c r="D695" s="3"/>
      <c r="E695" s="6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69"/>
      <c r="B696" s="69"/>
      <c r="C696" s="106"/>
      <c r="D696" s="3"/>
      <c r="E696" s="6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69"/>
      <c r="B697" s="69"/>
      <c r="C697" s="106"/>
      <c r="D697" s="3"/>
      <c r="E697" s="6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69"/>
      <c r="B698" s="69"/>
      <c r="C698" s="106"/>
      <c r="D698" s="3"/>
      <c r="E698" s="6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69"/>
      <c r="B699" s="69"/>
      <c r="C699" s="106"/>
      <c r="D699" s="3"/>
      <c r="E699" s="6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69"/>
      <c r="B700" s="69"/>
      <c r="C700" s="106"/>
      <c r="D700" s="3"/>
      <c r="E700" s="6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69"/>
      <c r="B701" s="69"/>
      <c r="C701" s="106"/>
      <c r="D701" s="3"/>
      <c r="E701" s="6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69"/>
      <c r="B702" s="69"/>
      <c r="C702" s="106"/>
      <c r="D702" s="3"/>
      <c r="E702" s="6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69"/>
      <c r="B703" s="69"/>
      <c r="C703" s="106"/>
      <c r="D703" s="3"/>
      <c r="E703" s="6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69"/>
      <c r="B704" s="69"/>
      <c r="C704" s="106"/>
      <c r="D704" s="3"/>
      <c r="E704" s="6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69"/>
      <c r="B705" s="69"/>
      <c r="C705" s="106"/>
      <c r="D705" s="3"/>
      <c r="E705" s="6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69"/>
      <c r="B706" s="69"/>
      <c r="C706" s="106"/>
      <c r="D706" s="3"/>
      <c r="E706" s="6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69"/>
      <c r="B707" s="69"/>
      <c r="C707" s="106"/>
      <c r="D707" s="3"/>
      <c r="E707" s="6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69"/>
      <c r="B708" s="69"/>
      <c r="C708" s="106"/>
      <c r="D708" s="3"/>
      <c r="E708" s="6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69"/>
      <c r="B709" s="69"/>
      <c r="C709" s="106"/>
      <c r="D709" s="3"/>
      <c r="E709" s="6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69"/>
      <c r="B710" s="69"/>
      <c r="C710" s="106"/>
      <c r="D710" s="3"/>
      <c r="E710" s="6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69"/>
      <c r="B711" s="69"/>
      <c r="C711" s="106"/>
      <c r="D711" s="3"/>
      <c r="E711" s="6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69"/>
      <c r="B712" s="69"/>
      <c r="C712" s="106"/>
      <c r="D712" s="3"/>
      <c r="E712" s="6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69"/>
      <c r="B713" s="69"/>
      <c r="C713" s="106"/>
      <c r="D713" s="3"/>
      <c r="E713" s="6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69"/>
      <c r="B714" s="69"/>
      <c r="C714" s="106"/>
      <c r="D714" s="3"/>
      <c r="E714" s="6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69"/>
      <c r="B715" s="69"/>
      <c r="C715" s="106"/>
      <c r="D715" s="3"/>
      <c r="E715" s="6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69"/>
      <c r="B716" s="69"/>
      <c r="C716" s="106"/>
      <c r="D716" s="3"/>
      <c r="E716" s="6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69"/>
      <c r="B717" s="69"/>
      <c r="C717" s="106"/>
      <c r="D717" s="3"/>
      <c r="E717" s="6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69"/>
      <c r="B718" s="69"/>
      <c r="C718" s="106"/>
      <c r="D718" s="3"/>
      <c r="E718" s="6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69"/>
      <c r="B719" s="69"/>
      <c r="C719" s="106"/>
      <c r="D719" s="3"/>
      <c r="E719" s="6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69"/>
      <c r="B720" s="69"/>
      <c r="C720" s="106"/>
      <c r="D720" s="3"/>
      <c r="E720" s="6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69"/>
      <c r="B721" s="69"/>
      <c r="C721" s="106"/>
      <c r="D721" s="3"/>
      <c r="E721" s="6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69"/>
      <c r="B722" s="69"/>
      <c r="C722" s="106"/>
      <c r="D722" s="3"/>
      <c r="E722" s="6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69"/>
      <c r="B723" s="69"/>
      <c r="C723" s="106"/>
      <c r="D723" s="3"/>
      <c r="E723" s="6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69"/>
      <c r="B724" s="69"/>
      <c r="C724" s="106"/>
      <c r="D724" s="3"/>
      <c r="E724" s="6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69"/>
      <c r="B725" s="69"/>
      <c r="C725" s="106"/>
      <c r="D725" s="3"/>
      <c r="E725" s="6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69"/>
      <c r="B726" s="69"/>
      <c r="C726" s="106"/>
      <c r="D726" s="3"/>
      <c r="E726" s="6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69"/>
      <c r="B727" s="69"/>
      <c r="C727" s="106"/>
      <c r="D727" s="3"/>
      <c r="E727" s="6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69"/>
      <c r="B728" s="69"/>
      <c r="C728" s="106"/>
      <c r="D728" s="3"/>
      <c r="E728" s="6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69"/>
      <c r="B729" s="69"/>
      <c r="C729" s="106"/>
      <c r="D729" s="3"/>
      <c r="E729" s="6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69"/>
      <c r="B730" s="69"/>
      <c r="C730" s="106"/>
      <c r="D730" s="3"/>
      <c r="E730" s="6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69"/>
      <c r="B731" s="69"/>
      <c r="C731" s="106"/>
      <c r="D731" s="3"/>
      <c r="E731" s="6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69"/>
      <c r="B732" s="69"/>
      <c r="C732" s="106"/>
      <c r="D732" s="3"/>
      <c r="E732" s="6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69"/>
      <c r="B733" s="69"/>
      <c r="C733" s="106"/>
      <c r="D733" s="3"/>
      <c r="E733" s="6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69"/>
      <c r="B734" s="69"/>
      <c r="C734" s="106"/>
      <c r="D734" s="3"/>
      <c r="E734" s="6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69"/>
      <c r="B735" s="69"/>
      <c r="C735" s="106"/>
      <c r="D735" s="3"/>
      <c r="E735" s="6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69"/>
      <c r="B736" s="69"/>
      <c r="C736" s="106"/>
      <c r="D736" s="3"/>
      <c r="E736" s="6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69"/>
      <c r="B737" s="69"/>
      <c r="C737" s="106"/>
      <c r="D737" s="3"/>
      <c r="E737" s="6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69"/>
      <c r="B738" s="69"/>
      <c r="C738" s="106"/>
      <c r="D738" s="3"/>
      <c r="E738" s="6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69"/>
      <c r="B739" s="69"/>
      <c r="C739" s="106"/>
      <c r="D739" s="3"/>
      <c r="E739" s="6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69"/>
      <c r="B740" s="69"/>
      <c r="C740" s="106"/>
      <c r="D740" s="3"/>
      <c r="E740" s="6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69"/>
      <c r="B741" s="69"/>
      <c r="C741" s="106"/>
      <c r="D741" s="3"/>
      <c r="E741" s="6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69"/>
      <c r="B742" s="69"/>
      <c r="C742" s="106"/>
      <c r="D742" s="3"/>
      <c r="E742" s="6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69"/>
      <c r="B743" s="69"/>
      <c r="C743" s="106"/>
      <c r="D743" s="3"/>
      <c r="E743" s="6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69"/>
      <c r="B744" s="69"/>
      <c r="C744" s="106"/>
      <c r="D744" s="3"/>
      <c r="E744" s="6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69"/>
      <c r="B745" s="69"/>
      <c r="C745" s="106"/>
      <c r="D745" s="3"/>
      <c r="E745" s="6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69"/>
      <c r="B746" s="69"/>
      <c r="C746" s="106"/>
      <c r="D746" s="3"/>
      <c r="E746" s="6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69"/>
      <c r="B747" s="69"/>
      <c r="C747" s="106"/>
      <c r="D747" s="3"/>
      <c r="E747" s="6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69"/>
      <c r="B748" s="69"/>
      <c r="C748" s="106"/>
      <c r="D748" s="3"/>
      <c r="E748" s="6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69"/>
      <c r="B749" s="69"/>
      <c r="C749" s="106"/>
      <c r="D749" s="3"/>
      <c r="E749" s="6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69"/>
      <c r="B750" s="69"/>
      <c r="C750" s="106"/>
      <c r="D750" s="3"/>
      <c r="E750" s="6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69"/>
      <c r="B751" s="69"/>
      <c r="C751" s="106"/>
      <c r="D751" s="3"/>
      <c r="E751" s="6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69"/>
      <c r="B752" s="69"/>
      <c r="C752" s="106"/>
      <c r="D752" s="3"/>
      <c r="E752" s="6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69"/>
      <c r="B753" s="69"/>
      <c r="C753" s="106"/>
      <c r="D753" s="3"/>
      <c r="E753" s="6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69"/>
      <c r="B754" s="69"/>
      <c r="C754" s="106"/>
      <c r="D754" s="3"/>
      <c r="E754" s="6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69"/>
      <c r="B755" s="69"/>
      <c r="C755" s="106"/>
      <c r="D755" s="3"/>
      <c r="E755" s="6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69"/>
      <c r="B756" s="69"/>
      <c r="C756" s="106"/>
      <c r="D756" s="3"/>
      <c r="E756" s="6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69"/>
      <c r="B757" s="69"/>
      <c r="C757" s="106"/>
      <c r="D757" s="3"/>
      <c r="E757" s="6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69"/>
      <c r="B758" s="69"/>
      <c r="C758" s="106"/>
      <c r="D758" s="3"/>
      <c r="E758" s="6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69"/>
      <c r="B759" s="69"/>
      <c r="C759" s="106"/>
      <c r="D759" s="3"/>
      <c r="E759" s="6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69"/>
      <c r="B760" s="69"/>
      <c r="C760" s="106"/>
      <c r="D760" s="3"/>
      <c r="E760" s="6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69"/>
      <c r="B761" s="69"/>
      <c r="C761" s="106"/>
      <c r="D761" s="3"/>
      <c r="E761" s="6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69"/>
      <c r="B762" s="69"/>
      <c r="C762" s="106"/>
      <c r="D762" s="3"/>
      <c r="E762" s="6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69"/>
      <c r="B763" s="69"/>
      <c r="C763" s="106"/>
      <c r="D763" s="3"/>
      <c r="E763" s="6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69"/>
      <c r="B764" s="69"/>
      <c r="C764" s="106"/>
      <c r="D764" s="3"/>
      <c r="E764" s="6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69"/>
      <c r="B765" s="69"/>
      <c r="C765" s="106"/>
      <c r="D765" s="3"/>
      <c r="E765" s="6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69"/>
      <c r="B766" s="69"/>
      <c r="C766" s="106"/>
      <c r="D766" s="3"/>
      <c r="E766" s="6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69"/>
      <c r="B767" s="69"/>
      <c r="C767" s="106"/>
      <c r="D767" s="3"/>
      <c r="E767" s="6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69"/>
      <c r="B768" s="69"/>
      <c r="C768" s="106"/>
      <c r="D768" s="3"/>
      <c r="E768" s="6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69"/>
      <c r="B769" s="69"/>
      <c r="C769" s="106"/>
      <c r="D769" s="3"/>
      <c r="E769" s="6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69"/>
      <c r="B770" s="69"/>
      <c r="C770" s="106"/>
      <c r="D770" s="3"/>
      <c r="E770" s="6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69"/>
      <c r="B771" s="69"/>
      <c r="C771" s="106"/>
      <c r="D771" s="3"/>
      <c r="E771" s="6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69"/>
      <c r="B772" s="69"/>
      <c r="C772" s="106"/>
      <c r="D772" s="3"/>
      <c r="E772" s="6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69"/>
      <c r="B773" s="69"/>
      <c r="C773" s="106"/>
      <c r="D773" s="3"/>
      <c r="E773" s="6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69"/>
      <c r="B774" s="69"/>
      <c r="C774" s="106"/>
      <c r="D774" s="3"/>
      <c r="E774" s="6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69"/>
      <c r="B775" s="69"/>
      <c r="C775" s="106"/>
      <c r="D775" s="3"/>
      <c r="E775" s="6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69"/>
      <c r="B776" s="69"/>
      <c r="C776" s="106"/>
      <c r="D776" s="3"/>
      <c r="E776" s="6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69"/>
      <c r="B777" s="69"/>
      <c r="C777" s="106"/>
      <c r="D777" s="3"/>
      <c r="E777" s="6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69"/>
      <c r="B778" s="69"/>
      <c r="C778" s="106"/>
      <c r="D778" s="3"/>
      <c r="E778" s="6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69"/>
      <c r="B779" s="69"/>
      <c r="C779" s="106"/>
      <c r="D779" s="3"/>
      <c r="E779" s="6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69"/>
      <c r="B780" s="69"/>
      <c r="C780" s="106"/>
      <c r="D780" s="3"/>
      <c r="E780" s="6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69"/>
      <c r="B781" s="69"/>
      <c r="C781" s="106"/>
      <c r="D781" s="3"/>
      <c r="E781" s="6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69"/>
      <c r="B782" s="69"/>
      <c r="C782" s="106"/>
      <c r="D782" s="3"/>
      <c r="E782" s="6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69"/>
      <c r="B783" s="69"/>
      <c r="C783" s="106"/>
      <c r="D783" s="3"/>
      <c r="E783" s="6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69"/>
      <c r="B784" s="69"/>
      <c r="C784" s="106"/>
      <c r="D784" s="3"/>
      <c r="E784" s="6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69"/>
      <c r="B785" s="69"/>
      <c r="C785" s="106"/>
      <c r="D785" s="3"/>
      <c r="E785" s="6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69"/>
      <c r="B786" s="69"/>
      <c r="C786" s="106"/>
      <c r="D786" s="3"/>
      <c r="E786" s="6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69"/>
      <c r="B787" s="69"/>
      <c r="C787" s="106"/>
      <c r="D787" s="3"/>
      <c r="E787" s="6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69"/>
      <c r="B788" s="69"/>
      <c r="C788" s="106"/>
      <c r="D788" s="3"/>
      <c r="E788" s="6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69"/>
      <c r="B789" s="69"/>
      <c r="C789" s="106"/>
      <c r="D789" s="3"/>
      <c r="E789" s="6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69"/>
      <c r="B790" s="69"/>
      <c r="C790" s="106"/>
      <c r="D790" s="3"/>
      <c r="E790" s="6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69"/>
      <c r="B791" s="69"/>
      <c r="C791" s="106"/>
      <c r="D791" s="3"/>
      <c r="E791" s="6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69"/>
      <c r="B792" s="69"/>
      <c r="C792" s="106"/>
      <c r="D792" s="3"/>
      <c r="E792" s="6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69"/>
      <c r="B793" s="69"/>
      <c r="C793" s="106"/>
      <c r="D793" s="3"/>
      <c r="E793" s="6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69"/>
      <c r="B794" s="69"/>
      <c r="C794" s="106"/>
      <c r="D794" s="3"/>
      <c r="E794" s="6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69"/>
      <c r="B795" s="69"/>
      <c r="C795" s="106"/>
      <c r="D795" s="3"/>
      <c r="E795" s="6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69"/>
      <c r="B796" s="69"/>
      <c r="C796" s="106"/>
      <c r="D796" s="3"/>
      <c r="E796" s="6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69"/>
      <c r="B797" s="69"/>
      <c r="C797" s="106"/>
      <c r="D797" s="3"/>
      <c r="E797" s="6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69"/>
      <c r="B798" s="69"/>
      <c r="C798" s="106"/>
      <c r="D798" s="3"/>
      <c r="E798" s="6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69"/>
      <c r="B799" s="69"/>
      <c r="C799" s="106"/>
      <c r="D799" s="3"/>
      <c r="E799" s="6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69"/>
      <c r="B800" s="69"/>
      <c r="C800" s="106"/>
      <c r="D800" s="3"/>
      <c r="E800" s="6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69"/>
      <c r="B801" s="69"/>
      <c r="C801" s="106"/>
      <c r="D801" s="3"/>
      <c r="E801" s="6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69"/>
      <c r="B802" s="69"/>
      <c r="C802" s="106"/>
      <c r="D802" s="3"/>
      <c r="E802" s="6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69"/>
      <c r="B803" s="69"/>
      <c r="C803" s="106"/>
      <c r="D803" s="3"/>
      <c r="E803" s="6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69"/>
      <c r="B804" s="69"/>
      <c r="C804" s="106"/>
      <c r="D804" s="3"/>
      <c r="E804" s="6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69"/>
      <c r="B805" s="69"/>
      <c r="C805" s="106"/>
      <c r="D805" s="3"/>
      <c r="E805" s="6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69"/>
      <c r="B806" s="69"/>
      <c r="C806" s="106"/>
      <c r="D806" s="3"/>
      <c r="E806" s="6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69"/>
      <c r="B807" s="69"/>
      <c r="C807" s="106"/>
      <c r="D807" s="3"/>
      <c r="E807" s="6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69"/>
      <c r="B808" s="69"/>
      <c r="C808" s="106"/>
      <c r="D808" s="3"/>
      <c r="E808" s="6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69"/>
      <c r="B809" s="69"/>
      <c r="C809" s="106"/>
      <c r="D809" s="3"/>
      <c r="E809" s="6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69"/>
      <c r="B810" s="69"/>
      <c r="C810" s="106"/>
      <c r="D810" s="3"/>
      <c r="E810" s="6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69"/>
      <c r="B811" s="69"/>
      <c r="C811" s="106"/>
      <c r="D811" s="3"/>
      <c r="E811" s="6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69"/>
      <c r="B812" s="69"/>
      <c r="C812" s="106"/>
      <c r="D812" s="3"/>
      <c r="E812" s="6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69"/>
      <c r="B813" s="69"/>
      <c r="C813" s="106"/>
      <c r="D813" s="3"/>
      <c r="E813" s="6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69"/>
      <c r="B814" s="69"/>
      <c r="C814" s="106"/>
      <c r="D814" s="3"/>
      <c r="E814" s="6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69"/>
      <c r="B815" s="69"/>
      <c r="C815" s="106"/>
      <c r="D815" s="3"/>
      <c r="E815" s="6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69"/>
      <c r="B816" s="69"/>
      <c r="C816" s="106"/>
      <c r="D816" s="3"/>
      <c r="E816" s="6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69"/>
      <c r="B817" s="69"/>
      <c r="C817" s="106"/>
      <c r="D817" s="3"/>
      <c r="E817" s="6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69"/>
      <c r="B818" s="69"/>
      <c r="C818" s="106"/>
      <c r="D818" s="3"/>
      <c r="E818" s="6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69"/>
      <c r="B819" s="69"/>
      <c r="C819" s="106"/>
      <c r="D819" s="3"/>
      <c r="E819" s="6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69"/>
      <c r="B820" s="69"/>
      <c r="C820" s="106"/>
      <c r="D820" s="3"/>
      <c r="E820" s="6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69"/>
      <c r="B821" s="69"/>
      <c r="C821" s="106"/>
      <c r="D821" s="3"/>
      <c r="E821" s="6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69"/>
      <c r="B822" s="69"/>
      <c r="C822" s="106"/>
      <c r="D822" s="3"/>
      <c r="E822" s="6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69"/>
      <c r="B823" s="69"/>
      <c r="C823" s="106"/>
      <c r="D823" s="3"/>
      <c r="E823" s="6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69"/>
      <c r="B824" s="69"/>
      <c r="C824" s="106"/>
      <c r="D824" s="3"/>
      <c r="E824" s="6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69"/>
      <c r="B825" s="69"/>
      <c r="C825" s="106"/>
      <c r="D825" s="3"/>
      <c r="E825" s="6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69"/>
      <c r="B826" s="69"/>
      <c r="C826" s="106"/>
      <c r="D826" s="3"/>
      <c r="E826" s="6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69"/>
      <c r="B827" s="69"/>
      <c r="C827" s="106"/>
      <c r="D827" s="3"/>
      <c r="E827" s="6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69"/>
      <c r="B828" s="69"/>
      <c r="C828" s="106"/>
      <c r="D828" s="3"/>
      <c r="E828" s="6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69"/>
      <c r="B829" s="69"/>
      <c r="C829" s="106"/>
      <c r="D829" s="3"/>
      <c r="E829" s="6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69"/>
      <c r="B830" s="69"/>
      <c r="C830" s="106"/>
      <c r="D830" s="3"/>
      <c r="E830" s="6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69"/>
      <c r="B831" s="69"/>
      <c r="C831" s="106"/>
      <c r="D831" s="3"/>
      <c r="E831" s="6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69"/>
      <c r="B832" s="69"/>
      <c r="C832" s="106"/>
      <c r="D832" s="3"/>
      <c r="E832" s="6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69"/>
      <c r="B833" s="69"/>
      <c r="C833" s="106"/>
      <c r="D833" s="3"/>
      <c r="E833" s="6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69"/>
      <c r="B834" s="69"/>
      <c r="C834" s="106"/>
      <c r="D834" s="3"/>
      <c r="E834" s="6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69"/>
      <c r="B835" s="69"/>
      <c r="C835" s="106"/>
      <c r="D835" s="3"/>
      <c r="E835" s="6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69"/>
      <c r="B836" s="69"/>
      <c r="C836" s="106"/>
      <c r="D836" s="3"/>
      <c r="E836" s="6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69"/>
      <c r="B837" s="69"/>
      <c r="C837" s="106"/>
      <c r="D837" s="3"/>
      <c r="E837" s="6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69"/>
      <c r="B838" s="69"/>
      <c r="C838" s="106"/>
      <c r="D838" s="3"/>
      <c r="E838" s="6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69"/>
      <c r="B839" s="69"/>
      <c r="C839" s="106"/>
      <c r="D839" s="3"/>
      <c r="E839" s="6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69"/>
      <c r="B840" s="69"/>
      <c r="C840" s="106"/>
      <c r="D840" s="3"/>
      <c r="E840" s="6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69"/>
      <c r="B841" s="69"/>
      <c r="C841" s="106"/>
      <c r="D841" s="3"/>
      <c r="E841" s="6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69"/>
      <c r="B842" s="69"/>
      <c r="C842" s="106"/>
      <c r="D842" s="3"/>
      <c r="E842" s="6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69"/>
      <c r="B843" s="69"/>
      <c r="C843" s="106"/>
      <c r="D843" s="3"/>
      <c r="E843" s="6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69"/>
      <c r="B844" s="69"/>
      <c r="C844" s="106"/>
      <c r="D844" s="3"/>
      <c r="E844" s="6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69"/>
      <c r="B845" s="69"/>
      <c r="C845" s="106"/>
      <c r="D845" s="3"/>
      <c r="E845" s="6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69"/>
      <c r="B846" s="69"/>
      <c r="C846" s="106"/>
      <c r="D846" s="3"/>
      <c r="E846" s="6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69"/>
      <c r="B847" s="69"/>
      <c r="C847" s="106"/>
      <c r="D847" s="3"/>
      <c r="E847" s="6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69"/>
      <c r="B848" s="69"/>
      <c r="C848" s="106"/>
      <c r="D848" s="3"/>
      <c r="E848" s="6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69"/>
      <c r="B849" s="69"/>
      <c r="C849" s="106"/>
      <c r="D849" s="3"/>
      <c r="E849" s="6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69"/>
      <c r="B850" s="69"/>
      <c r="C850" s="106"/>
      <c r="D850" s="3"/>
      <c r="E850" s="6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69"/>
      <c r="B851" s="69"/>
      <c r="C851" s="106"/>
      <c r="D851" s="3"/>
      <c r="E851" s="6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69"/>
      <c r="B852" s="69"/>
      <c r="C852" s="106"/>
      <c r="D852" s="3"/>
      <c r="E852" s="6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69"/>
      <c r="B853" s="69"/>
      <c r="C853" s="106"/>
      <c r="D853" s="3"/>
      <c r="E853" s="6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69"/>
      <c r="B854" s="69"/>
      <c r="C854" s="106"/>
      <c r="D854" s="3"/>
      <c r="E854" s="6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69"/>
      <c r="B855" s="69"/>
      <c r="C855" s="106"/>
      <c r="D855" s="3"/>
      <c r="E855" s="6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69"/>
      <c r="B856" s="69"/>
      <c r="C856" s="106"/>
      <c r="D856" s="3"/>
      <c r="E856" s="6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69"/>
      <c r="B857" s="69"/>
      <c r="C857" s="106"/>
      <c r="D857" s="3"/>
      <c r="E857" s="6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69"/>
      <c r="B858" s="69"/>
      <c r="C858" s="106"/>
      <c r="D858" s="3"/>
      <c r="E858" s="6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69"/>
      <c r="B859" s="69"/>
      <c r="C859" s="106"/>
      <c r="D859" s="3"/>
      <c r="E859" s="6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69"/>
      <c r="B860" s="69"/>
      <c r="C860" s="106"/>
      <c r="D860" s="3"/>
      <c r="E860" s="6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69"/>
      <c r="B861" s="69"/>
      <c r="C861" s="106"/>
      <c r="D861" s="3"/>
      <c r="E861" s="6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69"/>
      <c r="B862" s="69"/>
      <c r="C862" s="106"/>
      <c r="D862" s="3"/>
      <c r="E862" s="6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69"/>
      <c r="B863" s="69"/>
      <c r="C863" s="106"/>
      <c r="D863" s="3"/>
      <c r="E863" s="6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69"/>
      <c r="B864" s="69"/>
      <c r="C864" s="106"/>
      <c r="D864" s="3"/>
      <c r="E864" s="6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69"/>
      <c r="B865" s="69"/>
      <c r="C865" s="106"/>
      <c r="D865" s="3"/>
      <c r="E865" s="6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69"/>
      <c r="B866" s="69"/>
      <c r="C866" s="106"/>
      <c r="D866" s="3"/>
      <c r="E866" s="6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69"/>
      <c r="B867" s="69"/>
      <c r="C867" s="106"/>
      <c r="D867" s="3"/>
      <c r="E867" s="6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69"/>
      <c r="B868" s="69"/>
      <c r="C868" s="106"/>
      <c r="D868" s="3"/>
      <c r="E868" s="6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69"/>
      <c r="B869" s="69"/>
      <c r="C869" s="106"/>
      <c r="D869" s="3"/>
      <c r="E869" s="6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69"/>
      <c r="B870" s="69"/>
      <c r="C870" s="106"/>
      <c r="D870" s="3"/>
      <c r="E870" s="6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69"/>
      <c r="B871" s="69"/>
      <c r="C871" s="106"/>
      <c r="D871" s="3"/>
      <c r="E871" s="6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69"/>
      <c r="B872" s="69"/>
      <c r="C872" s="106"/>
      <c r="D872" s="3"/>
      <c r="E872" s="6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69"/>
      <c r="B873" s="69"/>
      <c r="C873" s="106"/>
      <c r="D873" s="3"/>
      <c r="E873" s="6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69"/>
      <c r="B874" s="69"/>
      <c r="C874" s="106"/>
      <c r="D874" s="3"/>
      <c r="E874" s="6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69"/>
      <c r="B875" s="69"/>
      <c r="C875" s="106"/>
      <c r="D875" s="3"/>
      <c r="E875" s="6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69"/>
      <c r="B876" s="69"/>
      <c r="C876" s="106"/>
      <c r="D876" s="3"/>
      <c r="E876" s="6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69"/>
      <c r="B877" s="69"/>
      <c r="C877" s="106"/>
      <c r="D877" s="3"/>
      <c r="E877" s="6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69"/>
      <c r="B878" s="69"/>
      <c r="C878" s="106"/>
      <c r="D878" s="3"/>
      <c r="E878" s="6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69"/>
      <c r="B879" s="69"/>
      <c r="C879" s="106"/>
      <c r="D879" s="3"/>
      <c r="E879" s="6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69"/>
      <c r="B880" s="69"/>
      <c r="C880" s="106"/>
      <c r="D880" s="3"/>
      <c r="E880" s="6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69"/>
      <c r="B881" s="69"/>
      <c r="C881" s="106"/>
      <c r="D881" s="3"/>
      <c r="E881" s="6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69"/>
      <c r="B882" s="69"/>
      <c r="C882" s="106"/>
      <c r="D882" s="3"/>
      <c r="E882" s="6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69"/>
      <c r="B883" s="69"/>
      <c r="C883" s="106"/>
      <c r="D883" s="3"/>
      <c r="E883" s="6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69"/>
      <c r="B884" s="69"/>
      <c r="C884" s="106"/>
      <c r="D884" s="3"/>
      <c r="E884" s="6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69"/>
      <c r="B885" s="69"/>
      <c r="C885" s="106"/>
      <c r="D885" s="3"/>
      <c r="E885" s="6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69"/>
      <c r="B886" s="69"/>
      <c r="C886" s="106"/>
      <c r="D886" s="3"/>
      <c r="E886" s="6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69"/>
      <c r="B887" s="69"/>
      <c r="C887" s="106"/>
      <c r="D887" s="3"/>
      <c r="E887" s="6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69"/>
      <c r="B888" s="69"/>
      <c r="C888" s="106"/>
      <c r="D888" s="3"/>
      <c r="E888" s="6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69"/>
      <c r="B889" s="69"/>
      <c r="C889" s="106"/>
      <c r="D889" s="3"/>
      <c r="E889" s="6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69"/>
      <c r="B890" s="69"/>
      <c r="C890" s="106"/>
      <c r="D890" s="3"/>
      <c r="E890" s="6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69"/>
      <c r="B891" s="69"/>
      <c r="C891" s="106"/>
      <c r="D891" s="3"/>
      <c r="E891" s="6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69"/>
      <c r="B892" s="69"/>
      <c r="C892" s="106"/>
      <c r="D892" s="3"/>
      <c r="E892" s="6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69"/>
      <c r="B893" s="69"/>
      <c r="C893" s="106"/>
      <c r="D893" s="3"/>
      <c r="E893" s="6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69"/>
      <c r="B894" s="69"/>
      <c r="C894" s="106"/>
      <c r="D894" s="3"/>
      <c r="E894" s="6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69"/>
      <c r="B895" s="69"/>
      <c r="C895" s="106"/>
      <c r="D895" s="3"/>
      <c r="E895" s="6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69"/>
      <c r="B896" s="69"/>
      <c r="C896" s="106"/>
      <c r="D896" s="3"/>
      <c r="E896" s="6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69"/>
      <c r="B897" s="69"/>
      <c r="C897" s="106"/>
      <c r="D897" s="3"/>
      <c r="E897" s="6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69"/>
      <c r="B898" s="69"/>
      <c r="C898" s="106"/>
      <c r="D898" s="3"/>
      <c r="E898" s="6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69"/>
      <c r="B899" s="69"/>
      <c r="C899" s="106"/>
      <c r="D899" s="3"/>
      <c r="E899" s="6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69"/>
      <c r="B900" s="69"/>
      <c r="C900" s="106"/>
      <c r="D900" s="3"/>
      <c r="E900" s="6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69"/>
      <c r="B901" s="69"/>
      <c r="C901" s="106"/>
      <c r="D901" s="3"/>
      <c r="E901" s="6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69"/>
      <c r="B902" s="69"/>
      <c r="C902" s="106"/>
      <c r="D902" s="3"/>
      <c r="E902" s="6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69"/>
      <c r="B903" s="69"/>
      <c r="C903" s="106"/>
      <c r="D903" s="3"/>
      <c r="E903" s="6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69"/>
      <c r="B904" s="69"/>
      <c r="C904" s="106"/>
      <c r="D904" s="3"/>
      <c r="E904" s="6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69"/>
      <c r="B905" s="69"/>
      <c r="C905" s="106"/>
      <c r="D905" s="3"/>
      <c r="E905" s="6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69"/>
      <c r="B906" s="69"/>
      <c r="C906" s="106"/>
      <c r="D906" s="3"/>
      <c r="E906" s="6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69"/>
      <c r="B907" s="69"/>
      <c r="C907" s="106"/>
      <c r="D907" s="3"/>
      <c r="E907" s="6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69"/>
      <c r="B908" s="69"/>
      <c r="C908" s="106"/>
      <c r="D908" s="3"/>
      <c r="E908" s="6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69"/>
      <c r="B909" s="69"/>
      <c r="C909" s="106"/>
      <c r="D909" s="3"/>
      <c r="E909" s="6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69"/>
      <c r="B910" s="69"/>
      <c r="C910" s="106"/>
      <c r="D910" s="3"/>
      <c r="E910" s="6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69"/>
      <c r="B911" s="69"/>
      <c r="C911" s="106"/>
      <c r="D911" s="3"/>
      <c r="E911" s="6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69"/>
      <c r="B912" s="69"/>
      <c r="C912" s="106"/>
      <c r="D912" s="3"/>
      <c r="E912" s="6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69"/>
      <c r="B913" s="69"/>
      <c r="C913" s="106"/>
      <c r="D913" s="3"/>
      <c r="E913" s="6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69"/>
      <c r="B914" s="69"/>
      <c r="C914" s="106"/>
      <c r="D914" s="3"/>
      <c r="E914" s="6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69"/>
      <c r="B915" s="69"/>
      <c r="C915" s="106"/>
      <c r="D915" s="3"/>
      <c r="E915" s="6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69"/>
      <c r="B916" s="69"/>
      <c r="C916" s="106"/>
      <c r="D916" s="3"/>
      <c r="E916" s="6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69"/>
      <c r="B917" s="69"/>
      <c r="C917" s="106"/>
      <c r="D917" s="3"/>
      <c r="E917" s="6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69"/>
      <c r="B918" s="69"/>
      <c r="C918" s="106"/>
      <c r="D918" s="3"/>
      <c r="E918" s="6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69"/>
      <c r="B919" s="69"/>
      <c r="C919" s="106"/>
      <c r="D919" s="3"/>
      <c r="E919" s="6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69"/>
      <c r="B920" s="69"/>
      <c r="C920" s="106"/>
      <c r="D920" s="3"/>
      <c r="E920" s="6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69"/>
      <c r="B921" s="69"/>
      <c r="C921" s="106"/>
      <c r="D921" s="3"/>
      <c r="E921" s="6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69"/>
      <c r="B922" s="69"/>
      <c r="C922" s="106"/>
      <c r="D922" s="3"/>
      <c r="E922" s="6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69"/>
      <c r="B923" s="69"/>
      <c r="C923" s="106"/>
      <c r="D923" s="3"/>
      <c r="E923" s="6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69"/>
      <c r="B924" s="69"/>
      <c r="C924" s="106"/>
      <c r="D924" s="3"/>
      <c r="E924" s="6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69"/>
      <c r="B925" s="69"/>
      <c r="C925" s="106"/>
      <c r="D925" s="3"/>
      <c r="E925" s="6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69"/>
      <c r="B926" s="69"/>
      <c r="C926" s="106"/>
      <c r="D926" s="3"/>
      <c r="E926" s="6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69"/>
      <c r="B927" s="69"/>
      <c r="C927" s="106"/>
      <c r="D927" s="3"/>
      <c r="E927" s="6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69"/>
      <c r="B928" s="69"/>
      <c r="C928" s="106"/>
      <c r="D928" s="3"/>
      <c r="E928" s="6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69"/>
      <c r="B929" s="69"/>
      <c r="C929" s="106"/>
      <c r="D929" s="3"/>
      <c r="E929" s="6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69"/>
      <c r="B930" s="69"/>
      <c r="C930" s="106"/>
      <c r="D930" s="3"/>
      <c r="E930" s="6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69"/>
      <c r="B931" s="69"/>
      <c r="C931" s="106"/>
      <c r="D931" s="3"/>
      <c r="E931" s="6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69"/>
      <c r="B932" s="69"/>
      <c r="C932" s="106"/>
      <c r="D932" s="3"/>
      <c r="E932" s="6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69"/>
      <c r="B933" s="69"/>
      <c r="C933" s="106"/>
      <c r="D933" s="3"/>
      <c r="E933" s="6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69"/>
      <c r="B934" s="69"/>
      <c r="C934" s="106"/>
      <c r="D934" s="3"/>
      <c r="E934" s="6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69"/>
      <c r="B935" s="69"/>
      <c r="C935" s="106"/>
      <c r="D935" s="3"/>
      <c r="E935" s="6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69"/>
      <c r="B936" s="69"/>
      <c r="C936" s="106"/>
      <c r="D936" s="3"/>
      <c r="E936" s="6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69"/>
      <c r="B937" s="69"/>
      <c r="C937" s="106"/>
      <c r="D937" s="3"/>
      <c r="E937" s="6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69"/>
      <c r="B938" s="69"/>
      <c r="C938" s="106"/>
      <c r="D938" s="3"/>
      <c r="E938" s="6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69"/>
      <c r="B939" s="69"/>
      <c r="C939" s="106"/>
      <c r="D939" s="3"/>
      <c r="E939" s="6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69"/>
      <c r="B940" s="69"/>
      <c r="C940" s="106"/>
      <c r="D940" s="3"/>
      <c r="E940" s="6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69"/>
      <c r="B941" s="69"/>
      <c r="C941" s="106"/>
      <c r="D941" s="3"/>
      <c r="E941" s="6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69"/>
      <c r="B942" s="69"/>
      <c r="C942" s="106"/>
      <c r="D942" s="3"/>
      <c r="E942" s="6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69"/>
      <c r="B943" s="69"/>
      <c r="C943" s="106"/>
      <c r="D943" s="3"/>
      <c r="E943" s="6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69"/>
      <c r="B944" s="69"/>
      <c r="C944" s="106"/>
      <c r="D944" s="3"/>
      <c r="E944" s="6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69"/>
      <c r="B945" s="69"/>
      <c r="C945" s="106"/>
      <c r="D945" s="3"/>
      <c r="E945" s="6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69"/>
      <c r="B946" s="69"/>
      <c r="C946" s="106"/>
      <c r="D946" s="3"/>
      <c r="E946" s="6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69"/>
      <c r="B947" s="69"/>
      <c r="C947" s="106"/>
      <c r="D947" s="3"/>
      <c r="E947" s="6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69"/>
      <c r="B948" s="69"/>
      <c r="C948" s="106"/>
      <c r="D948" s="3"/>
      <c r="E948" s="6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69"/>
      <c r="B949" s="69"/>
      <c r="C949" s="106"/>
      <c r="D949" s="3"/>
      <c r="E949" s="6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69"/>
      <c r="B950" s="69"/>
      <c r="C950" s="106"/>
      <c r="D950" s="3"/>
      <c r="E950" s="6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69"/>
      <c r="B951" s="69"/>
      <c r="C951" s="106"/>
      <c r="D951" s="3"/>
      <c r="E951" s="6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69"/>
      <c r="B952" s="69"/>
      <c r="C952" s="106"/>
      <c r="D952" s="3"/>
      <c r="E952" s="6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69"/>
      <c r="B953" s="69"/>
      <c r="C953" s="106"/>
      <c r="D953" s="3"/>
      <c r="E953" s="6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69"/>
      <c r="B954" s="69"/>
      <c r="C954" s="106"/>
      <c r="D954" s="3"/>
      <c r="E954" s="6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69"/>
      <c r="B955" s="69"/>
      <c r="C955" s="106"/>
      <c r="D955" s="3"/>
      <c r="E955" s="6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69"/>
      <c r="B956" s="69"/>
      <c r="C956" s="106"/>
      <c r="D956" s="3"/>
      <c r="E956" s="6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69"/>
      <c r="B957" s="69"/>
      <c r="C957" s="106"/>
      <c r="D957" s="3"/>
      <c r="E957" s="6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69"/>
      <c r="B958" s="69"/>
      <c r="C958" s="106"/>
      <c r="D958" s="3"/>
      <c r="E958" s="6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69"/>
      <c r="B959" s="69"/>
      <c r="C959" s="106"/>
      <c r="D959" s="3"/>
      <c r="E959" s="6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69"/>
      <c r="B960" s="69"/>
      <c r="C960" s="106"/>
      <c r="D960" s="3"/>
      <c r="E960" s="6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69"/>
      <c r="B961" s="69"/>
      <c r="C961" s="106"/>
      <c r="D961" s="3"/>
      <c r="E961" s="6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69"/>
      <c r="B962" s="69"/>
      <c r="C962" s="106"/>
      <c r="D962" s="3"/>
      <c r="E962" s="6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69"/>
      <c r="B963" s="69"/>
      <c r="C963" s="106"/>
      <c r="D963" s="3"/>
      <c r="E963" s="6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69"/>
      <c r="B964" s="69"/>
      <c r="C964" s="106"/>
      <c r="D964" s="3"/>
      <c r="E964" s="6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69"/>
      <c r="B965" s="69"/>
      <c r="C965" s="106"/>
      <c r="D965" s="3"/>
      <c r="E965" s="6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69"/>
      <c r="B966" s="69"/>
      <c r="C966" s="106"/>
      <c r="D966" s="3"/>
      <c r="E966" s="6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69"/>
      <c r="B967" s="69"/>
      <c r="C967" s="106"/>
      <c r="D967" s="3"/>
      <c r="E967" s="6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69"/>
      <c r="B968" s="69"/>
      <c r="C968" s="106"/>
      <c r="D968" s="3"/>
      <c r="E968" s="6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69"/>
      <c r="B969" s="69"/>
      <c r="C969" s="106"/>
      <c r="D969" s="3"/>
      <c r="E969" s="6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69"/>
      <c r="B970" s="69"/>
      <c r="C970" s="106"/>
      <c r="D970" s="3"/>
      <c r="E970" s="6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69"/>
      <c r="B971" s="69"/>
      <c r="C971" s="106"/>
      <c r="D971" s="3"/>
      <c r="E971" s="6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69"/>
      <c r="B972" s="69"/>
      <c r="C972" s="106"/>
      <c r="D972" s="3"/>
      <c r="E972" s="6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69"/>
      <c r="B973" s="69"/>
      <c r="C973" s="106"/>
      <c r="D973" s="3"/>
      <c r="E973" s="6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69"/>
      <c r="B974" s="69"/>
      <c r="C974" s="106"/>
      <c r="D974" s="3"/>
      <c r="E974" s="6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69"/>
      <c r="B975" s="69"/>
      <c r="C975" s="106"/>
      <c r="D975" s="3"/>
      <c r="E975" s="6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69"/>
      <c r="B976" s="69"/>
      <c r="C976" s="106"/>
      <c r="D976" s="3"/>
      <c r="E976" s="6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69"/>
      <c r="B977" s="69"/>
      <c r="C977" s="106"/>
      <c r="D977" s="3"/>
      <c r="E977" s="6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69"/>
      <c r="B978" s="69"/>
      <c r="C978" s="106"/>
      <c r="D978" s="3"/>
      <c r="E978" s="6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69"/>
      <c r="B979" s="69"/>
      <c r="C979" s="106"/>
      <c r="D979" s="3"/>
      <c r="E979" s="6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69"/>
      <c r="B980" s="69"/>
      <c r="C980" s="106"/>
      <c r="D980" s="3"/>
      <c r="E980" s="6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69"/>
      <c r="B981" s="69"/>
      <c r="C981" s="106"/>
      <c r="D981" s="3"/>
      <c r="E981" s="6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69"/>
      <c r="B982" s="69"/>
      <c r="C982" s="106"/>
      <c r="D982" s="3"/>
      <c r="E982" s="6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69"/>
      <c r="B983" s="69"/>
      <c r="C983" s="106"/>
      <c r="D983" s="3"/>
      <c r="E983" s="6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69"/>
      <c r="B984" s="69"/>
      <c r="C984" s="106"/>
      <c r="D984" s="3"/>
      <c r="E984" s="6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69"/>
      <c r="B985" s="69"/>
      <c r="C985" s="106"/>
      <c r="D985" s="3"/>
      <c r="E985" s="6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69"/>
      <c r="B986" s="69"/>
      <c r="C986" s="106"/>
      <c r="D986" s="3"/>
      <c r="E986" s="6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69"/>
      <c r="B987" s="69"/>
      <c r="C987" s="106"/>
      <c r="D987" s="3"/>
      <c r="E987" s="6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69"/>
      <c r="B988" s="69"/>
      <c r="C988" s="106"/>
      <c r="D988" s="3"/>
      <c r="E988" s="6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69"/>
      <c r="B989" s="69"/>
      <c r="C989" s="106"/>
      <c r="D989" s="3"/>
      <c r="E989" s="6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69"/>
      <c r="B990" s="69"/>
      <c r="C990" s="106"/>
      <c r="D990" s="3"/>
      <c r="E990" s="6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69"/>
      <c r="B991" s="69"/>
      <c r="C991" s="106"/>
      <c r="D991" s="3"/>
      <c r="E991" s="6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69"/>
      <c r="B992" s="69"/>
      <c r="C992" s="106"/>
      <c r="D992" s="3"/>
      <c r="E992" s="6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69"/>
      <c r="B993" s="69"/>
      <c r="C993" s="106"/>
      <c r="D993" s="3"/>
      <c r="E993" s="6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69"/>
      <c r="B994" s="69"/>
      <c r="C994" s="106"/>
      <c r="D994" s="3"/>
      <c r="E994" s="6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69"/>
      <c r="B995" s="69"/>
      <c r="C995" s="106"/>
      <c r="D995" s="3"/>
      <c r="E995" s="6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69"/>
      <c r="B996" s="69"/>
      <c r="C996" s="106"/>
      <c r="D996" s="3"/>
      <c r="E996" s="6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69"/>
      <c r="B997" s="69"/>
      <c r="C997" s="106"/>
      <c r="D997" s="3"/>
      <c r="E997" s="6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69"/>
      <c r="B998" s="69"/>
      <c r="C998" s="106"/>
      <c r="D998" s="3"/>
      <c r="E998" s="6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69"/>
      <c r="B999" s="69"/>
      <c r="C999" s="106"/>
      <c r="D999" s="3"/>
      <c r="E999" s="6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69"/>
      <c r="B1000" s="69"/>
      <c r="C1000" s="106"/>
      <c r="D1000" s="3"/>
      <c r="E1000" s="6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69"/>
      <c r="B1001" s="69"/>
      <c r="C1001" s="106"/>
      <c r="D1001" s="3"/>
      <c r="E1001" s="6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69"/>
      <c r="B1002" s="69"/>
      <c r="C1002" s="106"/>
      <c r="D1002" s="3"/>
      <c r="E1002" s="6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69"/>
      <c r="B1003" s="69"/>
      <c r="C1003" s="106"/>
      <c r="D1003" s="3"/>
      <c r="E1003" s="6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69"/>
      <c r="B1004" s="69"/>
      <c r="C1004" s="106"/>
      <c r="D1004" s="3"/>
      <c r="E1004" s="6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69"/>
      <c r="B1005" s="69"/>
      <c r="C1005" s="106"/>
      <c r="D1005" s="3"/>
      <c r="E1005" s="69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69"/>
      <c r="B1006" s="69"/>
      <c r="C1006" s="106"/>
      <c r="D1006" s="3"/>
      <c r="E1006" s="69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69"/>
      <c r="B1007" s="69"/>
      <c r="C1007" s="106"/>
      <c r="D1007" s="3"/>
      <c r="E1007" s="69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69"/>
      <c r="B1008" s="69"/>
      <c r="C1008" s="106"/>
      <c r="D1008" s="3"/>
      <c r="E1008" s="69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69"/>
      <c r="B1009" s="69"/>
      <c r="C1009" s="106"/>
      <c r="D1009" s="3"/>
      <c r="E1009" s="69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69"/>
      <c r="B1010" s="69"/>
      <c r="C1010" s="106"/>
      <c r="D1010" s="3"/>
      <c r="E1010" s="69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69"/>
      <c r="B1011" s="69"/>
      <c r="C1011" s="106"/>
      <c r="D1011" s="3"/>
      <c r="E1011" s="69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69"/>
      <c r="B1012" s="69"/>
      <c r="C1012" s="106"/>
      <c r="D1012" s="3"/>
      <c r="E1012" s="69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69"/>
      <c r="B1013" s="69"/>
      <c r="C1013" s="106"/>
      <c r="D1013" s="3"/>
      <c r="E1013" s="69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69"/>
      <c r="B1014" s="69"/>
      <c r="C1014" s="106"/>
      <c r="D1014" s="3"/>
      <c r="E1014" s="69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69"/>
      <c r="B1015" s="69"/>
      <c r="C1015" s="106"/>
      <c r="D1015" s="3"/>
      <c r="E1015" s="69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69"/>
      <c r="B1016" s="69"/>
      <c r="C1016" s="106"/>
      <c r="D1016" s="3"/>
      <c r="E1016" s="69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69"/>
      <c r="B1017" s="69"/>
      <c r="C1017" s="106"/>
      <c r="D1017" s="3"/>
      <c r="E1017" s="69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69"/>
      <c r="B1018" s="69"/>
      <c r="C1018" s="106"/>
      <c r="D1018" s="3"/>
      <c r="E1018" s="69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69"/>
      <c r="B1019" s="69"/>
      <c r="C1019" s="106"/>
      <c r="D1019" s="3"/>
      <c r="E1019" s="6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</sheetData>
  <mergeCells count="4">
    <mergeCell ref="A1:I1"/>
    <mergeCell ref="D2:F2"/>
    <mergeCell ref="G2:I2"/>
    <mergeCell ref="J3:K3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